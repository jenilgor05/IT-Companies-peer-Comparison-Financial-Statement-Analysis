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61899DB191D5D9/Documents/"/>
    </mc:Choice>
  </mc:AlternateContent>
  <xr:revisionPtr revIDLastSave="120" documentId="8_{03252153-2212-4825-BE9F-521D7A16350A}" xr6:coauthVersionLast="47" xr6:coauthVersionMax="47" xr10:uidLastSave="{4908A986-6174-4861-ADB5-C7BA3DCC9059}"/>
  <bookViews>
    <workbookView xWindow="-120" yWindow="-120" windowWidth="20730" windowHeight="11040" xr2:uid="{00000000-000D-0000-FFFF-FFFF00000000}"/>
  </bookViews>
  <sheets>
    <sheet name="IS" sheetId="1" r:id="rId1"/>
    <sheet name="BS" sheetId="2" r:id="rId2"/>
    <sheet name="CFS" sheetId="3" r:id="rId3"/>
    <sheet name="Ratio Analysis-inf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  <c r="G7" i="1"/>
  <c r="F7" i="1"/>
  <c r="E7" i="1"/>
  <c r="D7" i="1"/>
  <c r="C7" i="1"/>
  <c r="D27" i="4"/>
  <c r="D30" i="4" s="1"/>
  <c r="E27" i="4"/>
  <c r="E30" i="4" s="1"/>
  <c r="F27" i="4"/>
  <c r="F30" i="4" s="1"/>
  <c r="G27" i="4"/>
  <c r="G30" i="4" s="1"/>
  <c r="H27" i="4"/>
  <c r="H30" i="4" s="1"/>
  <c r="I27" i="4"/>
  <c r="I30" i="4" s="1"/>
  <c r="J27" i="4"/>
  <c r="J30" i="4" s="1"/>
  <c r="K27" i="4"/>
  <c r="K30" i="4" s="1"/>
  <c r="D26" i="4"/>
  <c r="E26" i="4"/>
  <c r="F26" i="4"/>
  <c r="G26" i="4"/>
  <c r="H26" i="4"/>
  <c r="I26" i="4"/>
  <c r="J26" i="4"/>
  <c r="K26" i="4"/>
  <c r="D25" i="4"/>
  <c r="D28" i="4" s="1"/>
  <c r="E25" i="4"/>
  <c r="E28" i="4" s="1"/>
  <c r="F25" i="4"/>
  <c r="F28" i="4" s="1"/>
  <c r="G25" i="4"/>
  <c r="G28" i="4" s="1"/>
  <c r="H25" i="4"/>
  <c r="H28" i="4" s="1"/>
  <c r="I25" i="4"/>
  <c r="I28" i="4" s="1"/>
  <c r="J25" i="4"/>
  <c r="J28" i="4" s="1"/>
  <c r="K25" i="4"/>
  <c r="K28" i="4" s="1"/>
  <c r="D24" i="4"/>
  <c r="E24" i="4"/>
  <c r="F24" i="4"/>
  <c r="G24" i="4"/>
  <c r="H24" i="4"/>
  <c r="I24" i="4"/>
  <c r="J24" i="4"/>
  <c r="K24" i="4"/>
  <c r="C28" i="4"/>
  <c r="C27" i="4"/>
  <c r="C30" i="4" s="1"/>
  <c r="C26" i="4"/>
  <c r="C25" i="4"/>
  <c r="C24" i="4"/>
  <c r="K21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K20" i="4"/>
  <c r="C19" i="4"/>
  <c r="D19" i="4"/>
  <c r="E19" i="4"/>
  <c r="F19" i="4"/>
  <c r="G19" i="4"/>
  <c r="H19" i="4"/>
  <c r="I19" i="4"/>
  <c r="J19" i="4"/>
  <c r="K19" i="4"/>
  <c r="C18" i="4"/>
  <c r="D18" i="4"/>
  <c r="E18" i="4"/>
  <c r="F18" i="4"/>
  <c r="G18" i="4"/>
  <c r="H18" i="4"/>
  <c r="I18" i="4"/>
  <c r="J18" i="4"/>
  <c r="K18" i="4"/>
  <c r="B20" i="4"/>
  <c r="B19" i="4"/>
  <c r="B18" i="4"/>
  <c r="C15" i="4"/>
  <c r="D15" i="4"/>
  <c r="E15" i="4"/>
  <c r="F15" i="4"/>
  <c r="G15" i="4"/>
  <c r="H15" i="4"/>
  <c r="I15" i="4"/>
  <c r="J15" i="4"/>
  <c r="K15" i="4"/>
  <c r="B15" i="4"/>
  <c r="K14" i="4"/>
  <c r="J14" i="4"/>
  <c r="I14" i="4"/>
  <c r="H14" i="4"/>
  <c r="G14" i="4"/>
  <c r="F14" i="4"/>
  <c r="E14" i="4"/>
  <c r="D14" i="4"/>
  <c r="C14" i="4"/>
  <c r="K13" i="4"/>
  <c r="J13" i="4"/>
  <c r="I13" i="4"/>
  <c r="H13" i="4"/>
  <c r="G13" i="4"/>
  <c r="F13" i="4"/>
  <c r="E13" i="4"/>
  <c r="D13" i="4"/>
  <c r="C13" i="4"/>
  <c r="K12" i="4"/>
  <c r="J12" i="4"/>
  <c r="I12" i="4"/>
  <c r="H12" i="4"/>
  <c r="G12" i="4"/>
  <c r="F12" i="4"/>
  <c r="E12" i="4"/>
  <c r="D12" i="4"/>
  <c r="C12" i="4"/>
  <c r="B14" i="4"/>
  <c r="B13" i="4"/>
  <c r="B12" i="4"/>
  <c r="D9" i="4"/>
  <c r="E9" i="4"/>
  <c r="F9" i="4"/>
  <c r="G9" i="4"/>
  <c r="H9" i="4"/>
  <c r="I9" i="4"/>
  <c r="J9" i="4"/>
  <c r="K9" i="4"/>
  <c r="D8" i="4"/>
  <c r="E8" i="4"/>
  <c r="F8" i="4"/>
  <c r="G8" i="4"/>
  <c r="H8" i="4"/>
  <c r="I8" i="4"/>
  <c r="J8" i="4"/>
  <c r="K8" i="4"/>
  <c r="K33" i="4" l="1"/>
  <c r="K32" i="4"/>
  <c r="G32" i="4"/>
  <c r="G33" i="4"/>
  <c r="J33" i="4"/>
  <c r="J32" i="4"/>
  <c r="F33" i="4"/>
  <c r="F32" i="4"/>
  <c r="I33" i="4"/>
  <c r="I32" i="4"/>
  <c r="E33" i="4"/>
  <c r="E32" i="4"/>
  <c r="C33" i="4"/>
  <c r="H33" i="4"/>
  <c r="H32" i="4"/>
  <c r="D33" i="4"/>
  <c r="D32" i="4"/>
  <c r="C32" i="4"/>
  <c r="C9" i="4"/>
  <c r="C8" i="4"/>
  <c r="D7" i="4"/>
  <c r="E7" i="4"/>
  <c r="F7" i="4"/>
  <c r="G7" i="4"/>
  <c r="H7" i="4"/>
  <c r="I7" i="4"/>
  <c r="J7" i="4"/>
  <c r="K7" i="4"/>
  <c r="C7" i="4"/>
  <c r="C6" i="4"/>
  <c r="D6" i="4"/>
  <c r="E6" i="4"/>
  <c r="F6" i="4"/>
  <c r="G6" i="4"/>
  <c r="H6" i="4"/>
  <c r="I6" i="4"/>
  <c r="J6" i="4"/>
  <c r="K6" i="4"/>
  <c r="C5" i="4"/>
  <c r="D5" i="4"/>
  <c r="E5" i="4"/>
  <c r="F5" i="4"/>
  <c r="G5" i="4"/>
  <c r="H5" i="4"/>
  <c r="I5" i="4"/>
  <c r="J5" i="4"/>
  <c r="K5" i="4"/>
  <c r="C4" i="4"/>
  <c r="D4" i="4"/>
  <c r="E4" i="4"/>
  <c r="F4" i="4"/>
  <c r="G4" i="4"/>
  <c r="H4" i="4"/>
  <c r="I4" i="4"/>
  <c r="J4" i="4"/>
  <c r="K4" i="4"/>
  <c r="C3" i="4"/>
  <c r="D3" i="4"/>
  <c r="E3" i="4"/>
  <c r="F3" i="4"/>
  <c r="G3" i="4"/>
  <c r="H3" i="4"/>
  <c r="I3" i="4"/>
  <c r="J3" i="4"/>
  <c r="K3" i="4"/>
  <c r="B6" i="4"/>
  <c r="B5" i="4"/>
  <c r="B4" i="4"/>
  <c r="B3" i="4"/>
</calcChain>
</file>

<file path=xl/sharedStrings.xml><?xml version="1.0" encoding="utf-8"?>
<sst xmlns="http://schemas.openxmlformats.org/spreadsheetml/2006/main" count="190" uniqueCount="99">
  <si>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</si>
  <si>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</si>
  <si>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</si>
  <si>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</si>
  <si>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</si>
  <si>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</si>
  <si>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</si>
  <si>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</si>
  <si>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</si>
  <si>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</si>
  <si>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'Total Revenue'</t>
  </si>
  <si>
    <t>'- Raw Materials'</t>
  </si>
  <si>
    <t>-</t>
  </si>
  <si>
    <t>'- Power &amp; Fuel Cost'</t>
  </si>
  <si>
    <t>'- Employee Cost'</t>
  </si>
  <si>
    <t>'- Selling &amp; Administrative Expenses'</t>
  </si>
  <si>
    <t>'- Operating &amp; Other expenses'</t>
  </si>
  <si>
    <t>'= EBITDA'</t>
  </si>
  <si>
    <t>'- Depreciation/Amortization'</t>
  </si>
  <si>
    <t>'= PBIT'</t>
  </si>
  <si>
    <t>'- Interest &amp; Other Items'</t>
  </si>
  <si>
    <t>'= PBT'</t>
  </si>
  <si>
    <t>'- Taxes &amp; Other Items'</t>
  </si>
  <si>
    <t>'= Net Income'</t>
  </si>
  <si>
    <t>'EPS'</t>
  </si>
  <si>
    <t>'DPS'</t>
  </si>
  <si>
    <t>'Payout ratio'</t>
  </si>
  <si>
    <t>'Cash and Short Term Investments'</t>
  </si>
  <si>
    <t>'+ Total Receivables'</t>
  </si>
  <si>
    <t>'+ Total Inventory'</t>
  </si>
  <si>
    <t>'+ Other Current Assets'</t>
  </si>
  <si>
    <t>'= Total Current Assets (A1)'</t>
  </si>
  <si>
    <t>'Loans &amp; Advances'</t>
  </si>
  <si>
    <t>'+ Net Property/Plant/Equipment'</t>
  </si>
  <si>
    <t>'+ Goodwill &amp; Intangibles'</t>
  </si>
  <si>
    <t>'+ Long Term Investments'</t>
  </si>
  <si>
    <t>'+ Deferred Tax Assets (Net)'</t>
  </si>
  <si>
    <t>'+ Other Assets'</t>
  </si>
  <si>
    <t>'= Non Current Assets (A2)'</t>
  </si>
  <si>
    <t>'Total Assets (A1 + A2)'</t>
  </si>
  <si>
    <t>'Accounts Payable'</t>
  </si>
  <si>
    <t>'+ Total Deposits'</t>
  </si>
  <si>
    <t>'+ Other Current Liabilities'</t>
  </si>
  <si>
    <t>'= Current Liabilities'</t>
  </si>
  <si>
    <t>'Total Long Term Debt'</t>
  </si>
  <si>
    <t>'+ Deferred Tax Liabilities (Net)'</t>
  </si>
  <si>
    <t>'+ Other Liabilities'</t>
  </si>
  <si>
    <t>'= Non Current Liabilities'</t>
  </si>
  <si>
    <t>'Total Liabilities'</t>
  </si>
  <si>
    <t>'Common Stock'</t>
  </si>
  <si>
    <t>'+ Additional Paid-in Capital'</t>
  </si>
  <si>
    <t>'+ Reserves &amp; Surplus'</t>
  </si>
  <si>
    <t>'+ Minority Interest'</t>
  </si>
  <si>
    <t>'+ Other Equity'</t>
  </si>
  <si>
    <t>'Total Equity'</t>
  </si>
  <si>
    <t>'Total Liabilities &amp; Shareholder's Equity'</t>
  </si>
  <si>
    <t>'Total Common Shares Outstanding'</t>
  </si>
  <si>
    <t>Shares outstanding numbers in cr. Other numbers in â‚¹ cr</t>
  </si>
  <si>
    <t>Report generated on 12-Dec-23 at 12:50 PM</t>
  </si>
  <si>
    <t>'Cash from Operating Activities'</t>
  </si>
  <si>
    <t>'+ Cash from Investing Activities'</t>
  </si>
  <si>
    <t>'+ Cash from Financing Activities'</t>
  </si>
  <si>
    <t>'= Net Change in Cash'</t>
  </si>
  <si>
    <t>'Changes in Working Capital'</t>
  </si>
  <si>
    <t>'Capital Expenditures'</t>
  </si>
  <si>
    <t>'Free Cash Flow'</t>
  </si>
  <si>
    <t>Infosys Ltd (INFY)</t>
  </si>
  <si>
    <t>Profitability Ratios</t>
  </si>
  <si>
    <t>EBITDA Margin</t>
  </si>
  <si>
    <t>EBIT Margin</t>
  </si>
  <si>
    <t>EBT Margin</t>
  </si>
  <si>
    <t>PAT Margin</t>
  </si>
  <si>
    <t>ROA</t>
  </si>
  <si>
    <t>ROE</t>
  </si>
  <si>
    <t>ROCE</t>
  </si>
  <si>
    <t>Liquidity Ratios</t>
  </si>
  <si>
    <t>Current Ratio</t>
  </si>
  <si>
    <t>Quick Ratio</t>
  </si>
  <si>
    <t>Cash Ratio</t>
  </si>
  <si>
    <t>Defensive Interval</t>
  </si>
  <si>
    <t>Solvency Ratios</t>
  </si>
  <si>
    <t>A/E</t>
  </si>
  <si>
    <t>D/E</t>
  </si>
  <si>
    <t>D/A</t>
  </si>
  <si>
    <t>Interest Coverage Ratio</t>
  </si>
  <si>
    <t>Activity Ratios</t>
  </si>
  <si>
    <t>Asset Turnover Ratio</t>
  </si>
  <si>
    <t>Receivables Turnover Ratio</t>
  </si>
  <si>
    <t>Inventory Turnover Ratio</t>
  </si>
  <si>
    <t>Payables Turnover Ratio</t>
  </si>
  <si>
    <t>Receivable Days (DSO)</t>
  </si>
  <si>
    <t>Inventory Days (DIH)</t>
  </si>
  <si>
    <t xml:space="preserve">Payable Days </t>
  </si>
  <si>
    <t>Operating Cycle</t>
  </si>
  <si>
    <t>Net Operating Cycle (CCC)</t>
  </si>
  <si>
    <t>Income Statement (All numbers in INR crores except EPS and DPS)</t>
  </si>
  <si>
    <t>Balance Sheet (All numbers in INR crores)</t>
  </si>
  <si>
    <t>Cash Flow Statement (All numbers in INR crores)</t>
  </si>
  <si>
    <t>y-o-y growth in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</si>
</sst>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13" fillId="33" borderId="0" xfId="0" applyFont="1" applyFill="1"/>
    <xf numFmtId="165" fontId="0" fillId="0" borderId="0" xfId="43" applyNumberFormat="1" applyFont="1"/>
    <xf numFmtId="164" fontId="0" fillId="0" borderId="0" xfId="0" applyNumberFormat="1"/>
    <xf numFmtId="166" fontId="0" fillId="0" borderId="0" xfId="42" applyNumberFormat="1" applyFont="1"/>
    <xf numFmtId="164" fontId="0" fillId="0" borderId="0" xfId="44" applyFont="1"/>
    <xf numFmtId="166" fontId="0" fillId="0" borderId="0" xfId="44" applyNumberFormat="1" applyFont="1"/>
    <xf numFmtId="167" fontId="0" fillId="0" borderId="0" xfId="42" applyNumberFormat="1" applyFont="1"/>
    <xf numFmtId="9" fontId="0" fillId="0" borderId="0" xfId="43" applyFont="1"/>
    <xf numFmtId="0" fontId="0" fillId="0" borderId="0" xfId="42" applyNumberFormat="1" applyFont="1"/>
    <xf numFmtId="43" fontId="0" fillId="0" borderId="0" xfId="42" applyNumberFormat="1" applyFont="1"/>
    <xf numFmtId="0" fontId="18" fillId="0" borderId="0" xfId="0" applyFont="1"/>
    <xf numFmtId="9" fontId="18" fillId="0" borderId="0" xfId="43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44" xr:uid="{19826354-5046-456C-B058-1596632F470B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24803149606299"/>
          <c:y val="0.16245370370370371"/>
          <c:w val="0.82841863517060366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IS!$A$6</c:f>
              <c:strCache>
                <c:ptCount val="1"/>
                <c:pt idx="0">
                  <c:v>'Total Revenue'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IS!$B$5:$K$5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IS!$B$6:$K$6</c:f>
              <c:numCache>
                <c:formatCode>_(* #,##0_);_(* \(#,##0\);_(* "-"??_);_(@_)</c:formatCode>
                <c:ptCount val="10"/>
                <c:pt idx="0">
                  <c:v>52797</c:v>
                </c:pt>
                <c:pt idx="1">
                  <c:v>56749</c:v>
                </c:pt>
                <c:pt idx="2">
                  <c:v>65561</c:v>
                </c:pt>
                <c:pt idx="3">
                  <c:v>71534</c:v>
                </c:pt>
                <c:pt idx="4">
                  <c:v>73833</c:v>
                </c:pt>
                <c:pt idx="5">
                  <c:v>85557</c:v>
                </c:pt>
                <c:pt idx="6">
                  <c:v>93594</c:v>
                </c:pt>
                <c:pt idx="7">
                  <c:v>102673</c:v>
                </c:pt>
                <c:pt idx="8">
                  <c:v>123936</c:v>
                </c:pt>
                <c:pt idx="9">
                  <c:v>149468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5-4836-AA80-497E4F36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440080"/>
        <c:axId val="1887446800"/>
      </c:lineChart>
      <c:catAx>
        <c:axId val="188744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46800"/>
        <c:crosses val="autoZero"/>
        <c:auto val="1"/>
        <c:lblAlgn val="ctr"/>
        <c:lblOffset val="100"/>
        <c:noMultiLvlLbl val="0"/>
      </c:catAx>
      <c:valAx>
        <c:axId val="18874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4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IS!$A$19</c:f>
              <c:strCache>
                <c:ptCount val="1"/>
                <c:pt idx="0">
                  <c:v>'= Net Income'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IS!$B$5:$K$5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IS!$B$19:$K$19</c:f>
              <c:numCache>
                <c:formatCode>_(* #,##0_);_(* \(#,##0\);_(* "-"??_);_(@_)</c:formatCode>
                <c:ptCount val="10"/>
                <c:pt idx="0">
                  <c:v>10656</c:v>
                </c:pt>
                <c:pt idx="1">
                  <c:v>12372</c:v>
                </c:pt>
                <c:pt idx="2">
                  <c:v>13489</c:v>
                </c:pt>
                <c:pt idx="3">
                  <c:v>14353</c:v>
                </c:pt>
                <c:pt idx="4">
                  <c:v>16029</c:v>
                </c:pt>
                <c:pt idx="5">
                  <c:v>15404</c:v>
                </c:pt>
                <c:pt idx="6">
                  <c:v>16594</c:v>
                </c:pt>
                <c:pt idx="7">
                  <c:v>19351</c:v>
                </c:pt>
                <c:pt idx="8">
                  <c:v>22110</c:v>
                </c:pt>
                <c:pt idx="9">
                  <c:v>24095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0-4CB4-BB4A-ADCF6A18A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378864"/>
        <c:axId val="1849398064"/>
      </c:lineChart>
      <c:catAx>
        <c:axId val="184937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98064"/>
        <c:crosses val="autoZero"/>
        <c:auto val="1"/>
        <c:lblAlgn val="ctr"/>
        <c:lblOffset val="100"/>
        <c:noMultiLvlLbl val="0"/>
      </c:catAx>
      <c:valAx>
        <c:axId val="18493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7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4</xdr:row>
      <xdr:rowOff>176212</xdr:rowOff>
    </xdr:from>
    <xdr:to>
      <xdr:col>18</xdr:col>
      <xdr:colOff>361950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379B3-B205-B677-9459-A2303308D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24</xdr:row>
      <xdr:rowOff>100012</xdr:rowOff>
    </xdr:from>
    <xdr:to>
      <xdr:col>11</xdr:col>
      <xdr:colOff>95250</xdr:colOff>
      <xdr:row>38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3FE70F-33A9-5B6C-DF1B-DDB378859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132241</xdr:colOff>
      <xdr:row>2</xdr:row>
      <xdr:rowOff>8645</xdr:rowOff>
    </xdr:from>
    <xdr:to>
      <xdr:col>13</xdr:col>
      <xdr:colOff>30418</xdr:colOff>
      <xdr:row>4</xdr:row>
      <xdr:rowOff>144946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631E84-174F-AD82-CB2D-684CD8A47844}"/>
            </a:ext>
          </a:extLst>
        </xdr:cNvPr>
        <xdr:cNvSpPr txBox="1"/>
      </xdr:nvSpPr>
      <xdr:spPr>
        <a:xfrm>
          <a:off x="7883382" y="395167"/>
          <a:ext cx="1112960" cy="5228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>
                  <a:lumMod val="65000"/>
                </a:schemeClr>
              </a:solidFill>
            </a:rPr>
            <a:t>Created By Jenil Nitin</a:t>
          </a:r>
          <a:r>
            <a:rPr lang="en-IN" sz="1100" baseline="0">
              <a:solidFill>
                <a:schemeClr val="bg1">
                  <a:lumMod val="65000"/>
                </a:schemeClr>
              </a:solidFill>
            </a:rPr>
            <a:t> Gor </a:t>
          </a:r>
          <a:endParaRPr lang="en-IN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3"/>
  <sheetViews>
    <sheetView tabSelected="1" topLeftCell="B22" workbookViewId="0">
      <selection activeCell="D28" sqref="D28"/>
    </sheetView>
  </sheetViews>
  <sheetFormatPr defaultRowHeight="15" x14ac:dyDescent="0.25"/>
  <cols>
    <col min="1" max="1" width="57.5703125" bestFit="1" customWidth="1"/>
    <col min="2" max="8" width="10.140625" bestFit="1" customWidth="1"/>
    <col min="9" max="11" width="11.140625" bestFit="1" customWidth="1"/>
  </cols>
  <sheetData>
    <row r="2" spans="1:11" x14ac:dyDescent="0.25">
      <c r="A2" t="s">
        <v>66</v>
      </c>
    </row>
    <row r="5" spans="1:11" x14ac:dyDescent="0.25">
      <c r="A5" s="1" t="s">
        <v>95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10</v>
      </c>
      <c r="B6" s="4">
        <v>52797</v>
      </c>
      <c r="C6" s="4">
        <v>56749</v>
      </c>
      <c r="D6" s="4">
        <v>65561</v>
      </c>
      <c r="E6" s="4">
        <v>71534</v>
      </c>
      <c r="F6" s="4">
        <v>73833</v>
      </c>
      <c r="G6" s="4">
        <v>85557</v>
      </c>
      <c r="H6" s="4">
        <v>93594</v>
      </c>
      <c r="I6" s="4">
        <v>102673</v>
      </c>
      <c r="J6" s="4">
        <v>123936</v>
      </c>
      <c r="K6" s="4">
        <v>149468</v>
      </c>
    </row>
    <row r="7" spans="1:11" x14ac:dyDescent="0.25">
      <c r="A7" s="11" t="s">
        <v>98</v>
      </c>
      <c r="B7" s="4"/>
      <c r="C7" s="12">
        <f>C6/B6-1</f>
        <v>7.4852737844953277E-2</v>
      </c>
      <c r="D7" s="12">
        <f t="shared" ref="D7:K7" si="0">D6/C6-1</f>
        <v>0.15528026925584593</v>
      </c>
      <c r="E7" s="12">
        <f t="shared" si="0"/>
        <v>9.110599289211585E-2</v>
      </c>
      <c r="F7" s="12">
        <f t="shared" si="0"/>
        <v>3.2138563480303084E-2</v>
      </c>
      <c r="G7" s="12">
        <f t="shared" si="0"/>
        <v>0.15879078460850837</v>
      </c>
      <c r="H7" s="12">
        <f t="shared" si="0"/>
        <v>9.3937375083277708E-2</v>
      </c>
      <c r="I7" s="12">
        <f t="shared" si="0"/>
        <v>9.7004081458213154E-2</v>
      </c>
      <c r="J7" s="12">
        <f t="shared" si="0"/>
        <v>0.20709436755524813</v>
      </c>
      <c r="K7" s="12">
        <f t="shared" si="0"/>
        <v>0.20600955331784143</v>
      </c>
    </row>
    <row r="8" spans="1:11" x14ac:dyDescent="0.25">
      <c r="A8" t="s">
        <v>11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t="s">
        <v>13</v>
      </c>
      <c r="B9" s="4">
        <v>219</v>
      </c>
      <c r="C9" s="4">
        <v>219</v>
      </c>
      <c r="D9" s="4">
        <v>217</v>
      </c>
      <c r="E9" s="4">
        <v>228</v>
      </c>
      <c r="F9" s="4">
        <v>207</v>
      </c>
      <c r="G9" s="4">
        <v>221</v>
      </c>
      <c r="H9" s="4">
        <v>229</v>
      </c>
      <c r="I9" s="4">
        <v>143</v>
      </c>
      <c r="J9" s="4">
        <v>132</v>
      </c>
      <c r="K9" s="4">
        <v>176</v>
      </c>
    </row>
    <row r="10" spans="1:11" x14ac:dyDescent="0.25">
      <c r="A10" t="s">
        <v>14</v>
      </c>
      <c r="B10" s="4">
        <v>28831</v>
      </c>
      <c r="C10" s="4">
        <v>29802</v>
      </c>
      <c r="D10" s="4">
        <v>34406</v>
      </c>
      <c r="E10" s="4">
        <v>37659</v>
      </c>
      <c r="F10" s="4">
        <v>38893</v>
      </c>
      <c r="G10" s="4">
        <v>45315</v>
      </c>
      <c r="H10" s="4">
        <v>50887</v>
      </c>
      <c r="I10" s="4">
        <v>55541</v>
      </c>
      <c r="J10" s="4">
        <v>63986</v>
      </c>
      <c r="K10" s="4">
        <v>78359</v>
      </c>
    </row>
    <row r="11" spans="1:11" x14ac:dyDescent="0.25">
      <c r="A11" t="s">
        <v>15</v>
      </c>
      <c r="B11" s="4">
        <v>3600</v>
      </c>
      <c r="C11" s="4">
        <v>3394</v>
      </c>
      <c r="D11" s="4">
        <v>4450</v>
      </c>
      <c r="E11" s="4">
        <v>4594</v>
      </c>
      <c r="F11" s="4">
        <v>4594</v>
      </c>
      <c r="G11" s="4">
        <v>5561</v>
      </c>
      <c r="H11" s="4">
        <v>5383</v>
      </c>
      <c r="I11" s="4">
        <v>3200</v>
      </c>
      <c r="J11" s="4">
        <v>4316</v>
      </c>
      <c r="K11" s="4">
        <v>5315</v>
      </c>
    </row>
    <row r="12" spans="1:11" x14ac:dyDescent="0.25">
      <c r="A12" t="s">
        <v>16</v>
      </c>
      <c r="B12" s="4">
        <v>4093</v>
      </c>
      <c r="C12" s="4">
        <v>5021</v>
      </c>
      <c r="D12" s="4">
        <v>6289</v>
      </c>
      <c r="E12" s="4">
        <v>7399</v>
      </c>
      <c r="F12" s="4">
        <v>8006</v>
      </c>
      <c r="G12" s="4">
        <v>11408</v>
      </c>
      <c r="H12" s="4">
        <v>12025</v>
      </c>
      <c r="I12" s="4">
        <v>13699</v>
      </c>
      <c r="J12" s="4">
        <v>21716</v>
      </c>
      <c r="K12" s="4">
        <v>27787</v>
      </c>
    </row>
    <row r="13" spans="1:11" x14ac:dyDescent="0.25">
      <c r="A13" t="s">
        <v>17</v>
      </c>
      <c r="B13" s="4">
        <v>16054</v>
      </c>
      <c r="C13" s="4">
        <v>18313</v>
      </c>
      <c r="D13" s="4">
        <v>20199</v>
      </c>
      <c r="E13" s="4">
        <v>21654</v>
      </c>
      <c r="F13" s="4">
        <v>22133</v>
      </c>
      <c r="G13" s="4">
        <v>23052</v>
      </c>
      <c r="H13" s="4">
        <v>25070</v>
      </c>
      <c r="I13" s="4">
        <v>30090</v>
      </c>
      <c r="J13" s="4">
        <v>33786</v>
      </c>
      <c r="K13" s="4">
        <v>37831</v>
      </c>
    </row>
    <row r="14" spans="1:11" x14ac:dyDescent="0.25">
      <c r="A14" t="s">
        <v>18</v>
      </c>
      <c r="B14" s="4">
        <v>1317</v>
      </c>
      <c r="C14" s="4">
        <v>1017</v>
      </c>
      <c r="D14" s="4">
        <v>1459</v>
      </c>
      <c r="E14" s="4">
        <v>1703</v>
      </c>
      <c r="F14" s="4">
        <v>1863</v>
      </c>
      <c r="G14" s="4">
        <v>2011</v>
      </c>
      <c r="H14" s="4">
        <v>2893</v>
      </c>
      <c r="I14" s="4">
        <v>3267</v>
      </c>
      <c r="J14" s="4">
        <v>3476</v>
      </c>
      <c r="K14" s="4">
        <v>4225</v>
      </c>
    </row>
    <row r="15" spans="1:11" x14ac:dyDescent="0.25">
      <c r="A15" t="s">
        <v>19</v>
      </c>
      <c r="B15" s="4">
        <v>14737</v>
      </c>
      <c r="C15" s="4">
        <v>17296</v>
      </c>
      <c r="D15" s="9">
        <v>18740</v>
      </c>
      <c r="E15" s="9">
        <v>19951</v>
      </c>
      <c r="F15" s="9">
        <v>20270</v>
      </c>
      <c r="G15" s="9">
        <v>21041</v>
      </c>
      <c r="H15" s="4">
        <v>22177</v>
      </c>
      <c r="I15" s="4">
        <v>26823</v>
      </c>
      <c r="J15" s="4">
        <v>30310</v>
      </c>
      <c r="K15" s="4">
        <v>33606</v>
      </c>
    </row>
    <row r="16" spans="1:11" x14ac:dyDescent="0.25">
      <c r="A16" t="s">
        <v>20</v>
      </c>
      <c r="B16" s="9">
        <v>9</v>
      </c>
      <c r="C16" s="9">
        <v>12</v>
      </c>
      <c r="D16" s="9">
        <v>0</v>
      </c>
      <c r="E16" s="9">
        <v>0</v>
      </c>
      <c r="F16" s="9">
        <v>0</v>
      </c>
      <c r="G16" s="9">
        <v>0</v>
      </c>
      <c r="H16" s="9">
        <v>170</v>
      </c>
      <c r="I16" s="9">
        <v>195</v>
      </c>
      <c r="J16" s="9">
        <v>200</v>
      </c>
      <c r="K16" s="9">
        <v>284</v>
      </c>
    </row>
    <row r="17" spans="1:11" x14ac:dyDescent="0.25">
      <c r="A17" t="s">
        <v>21</v>
      </c>
      <c r="B17" s="4">
        <v>14728</v>
      </c>
      <c r="C17" s="4">
        <v>17284</v>
      </c>
      <c r="D17" s="4">
        <v>18740</v>
      </c>
      <c r="E17" s="4">
        <v>19951</v>
      </c>
      <c r="F17" s="4">
        <v>20270</v>
      </c>
      <c r="G17" s="4">
        <v>21041</v>
      </c>
      <c r="H17" s="4">
        <v>22007</v>
      </c>
      <c r="I17" s="4">
        <v>26628</v>
      </c>
      <c r="J17" s="4">
        <v>30110</v>
      </c>
      <c r="K17" s="4">
        <v>33322</v>
      </c>
    </row>
    <row r="18" spans="1:11" x14ac:dyDescent="0.25">
      <c r="A18" t="s">
        <v>22</v>
      </c>
      <c r="B18" s="4">
        <v>4072</v>
      </c>
      <c r="C18" s="4">
        <v>4912</v>
      </c>
      <c r="D18" s="4">
        <v>5251</v>
      </c>
      <c r="E18" s="4">
        <v>5598</v>
      </c>
      <c r="F18" s="4">
        <v>4241</v>
      </c>
      <c r="G18" s="4">
        <v>5637</v>
      </c>
      <c r="H18" s="4">
        <v>5413</v>
      </c>
      <c r="I18" s="4">
        <v>7277</v>
      </c>
      <c r="J18" s="4">
        <v>8000</v>
      </c>
      <c r="K18" s="4">
        <v>9227</v>
      </c>
    </row>
    <row r="19" spans="1:11" x14ac:dyDescent="0.25">
      <c r="A19" t="s">
        <v>23</v>
      </c>
      <c r="B19" s="4">
        <v>10656</v>
      </c>
      <c r="C19" s="4">
        <v>12372</v>
      </c>
      <c r="D19" s="4">
        <v>13489</v>
      </c>
      <c r="E19" s="4">
        <v>14353</v>
      </c>
      <c r="F19" s="4">
        <v>16029</v>
      </c>
      <c r="G19" s="4">
        <v>15404</v>
      </c>
      <c r="H19" s="4">
        <v>16594</v>
      </c>
      <c r="I19" s="4">
        <v>19351</v>
      </c>
      <c r="J19" s="4">
        <v>22110</v>
      </c>
      <c r="K19" s="4">
        <v>24095</v>
      </c>
    </row>
    <row r="20" spans="1:1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t="s">
        <v>24</v>
      </c>
      <c r="B21" s="4">
        <v>23.31</v>
      </c>
      <c r="C21" s="4">
        <v>27.07</v>
      </c>
      <c r="D21" s="4">
        <v>29.51</v>
      </c>
      <c r="E21" s="4">
        <v>31.4</v>
      </c>
      <c r="F21" s="4">
        <v>35.950000000000003</v>
      </c>
      <c r="G21" s="4">
        <v>35.479999999999997</v>
      </c>
      <c r="H21" s="4">
        <v>38.700000000000003</v>
      </c>
      <c r="I21" s="4">
        <v>45.61</v>
      </c>
      <c r="J21" s="4">
        <v>52.4</v>
      </c>
      <c r="K21" s="4">
        <v>57.86</v>
      </c>
    </row>
    <row r="22" spans="1:11" x14ac:dyDescent="0.25">
      <c r="A22" t="s">
        <v>25</v>
      </c>
      <c r="B22" s="4">
        <v>7.88</v>
      </c>
      <c r="C22" s="4">
        <v>14.88</v>
      </c>
      <c r="D22" s="4">
        <v>12.13</v>
      </c>
      <c r="E22" s="4">
        <v>12.88</v>
      </c>
      <c r="F22" s="4">
        <v>21.75</v>
      </c>
      <c r="G22" s="4">
        <v>21.5</v>
      </c>
      <c r="H22" s="4">
        <v>17.5</v>
      </c>
      <c r="I22" s="4">
        <v>27</v>
      </c>
      <c r="J22" s="4">
        <v>31</v>
      </c>
      <c r="K22" s="4">
        <v>34</v>
      </c>
    </row>
    <row r="23" spans="1:11" x14ac:dyDescent="0.25">
      <c r="A23" t="s">
        <v>26</v>
      </c>
      <c r="B23" s="8">
        <v>0.34</v>
      </c>
      <c r="C23" s="8">
        <v>0.55000000000000004</v>
      </c>
      <c r="D23" s="8">
        <v>0.41</v>
      </c>
      <c r="E23" s="8">
        <v>0.41</v>
      </c>
      <c r="F23" s="8">
        <v>0.61</v>
      </c>
      <c r="G23" s="8">
        <v>0.61</v>
      </c>
      <c r="H23" s="8">
        <v>0.45</v>
      </c>
      <c r="I23" s="8">
        <v>0.59</v>
      </c>
      <c r="J23" s="8">
        <v>0.59</v>
      </c>
      <c r="K23" s="8">
        <v>0.59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8"/>
  <sheetViews>
    <sheetView topLeftCell="A13" workbookViewId="0">
      <selection activeCell="J11" sqref="J11"/>
    </sheetView>
  </sheetViews>
  <sheetFormatPr defaultRowHeight="15" x14ac:dyDescent="0.25"/>
  <cols>
    <col min="1" max="1" width="48" bestFit="1" customWidth="1"/>
    <col min="2" max="8" width="10.140625" bestFit="1" customWidth="1"/>
    <col min="9" max="11" width="11.140625" bestFit="1" customWidth="1"/>
  </cols>
  <sheetData>
    <row r="2" spans="1:11" x14ac:dyDescent="0.25">
      <c r="A2" t="s">
        <v>66</v>
      </c>
    </row>
    <row r="5" spans="1:11" x14ac:dyDescent="0.25">
      <c r="A5" s="1" t="s">
        <v>96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27</v>
      </c>
      <c r="B6" s="4">
        <v>28974</v>
      </c>
      <c r="C6" s="4">
        <v>31239</v>
      </c>
      <c r="D6" s="4">
        <v>32772</v>
      </c>
      <c r="E6" s="4">
        <v>32595</v>
      </c>
      <c r="F6" s="4">
        <v>26225</v>
      </c>
      <c r="G6" s="4">
        <v>26195</v>
      </c>
      <c r="H6" s="4">
        <v>23304</v>
      </c>
      <c r="I6" s="4">
        <v>27056</v>
      </c>
      <c r="J6" s="4">
        <v>24145</v>
      </c>
      <c r="K6" s="4">
        <v>19082</v>
      </c>
    </row>
    <row r="7" spans="1:11" x14ac:dyDescent="0.25">
      <c r="A7" t="s">
        <v>28</v>
      </c>
      <c r="B7" s="4">
        <v>8351</v>
      </c>
      <c r="C7" s="4">
        <v>9713</v>
      </c>
      <c r="D7" s="4">
        <v>11330</v>
      </c>
      <c r="E7" s="4">
        <v>12322</v>
      </c>
      <c r="F7" s="4">
        <v>13142</v>
      </c>
      <c r="G7" s="4">
        <v>14827</v>
      </c>
      <c r="H7" s="4">
        <v>18487</v>
      </c>
      <c r="I7" s="4">
        <v>19294</v>
      </c>
      <c r="J7" s="4">
        <v>22698</v>
      </c>
      <c r="K7" s="4">
        <v>25424</v>
      </c>
    </row>
    <row r="8" spans="1:11" x14ac:dyDescent="0.25">
      <c r="A8" t="s">
        <v>29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t="s">
        <v>30</v>
      </c>
      <c r="B9" s="4">
        <v>5753</v>
      </c>
      <c r="C9" s="4">
        <v>6290</v>
      </c>
      <c r="D9" s="4">
        <v>7651</v>
      </c>
      <c r="E9" s="4">
        <v>8788</v>
      </c>
      <c r="F9" s="4">
        <v>10650</v>
      </c>
      <c r="G9" s="4">
        <v>11856</v>
      </c>
      <c r="H9" s="4">
        <v>12785</v>
      </c>
      <c r="I9" s="4">
        <v>14383</v>
      </c>
      <c r="J9" s="4">
        <v>20342</v>
      </c>
      <c r="K9" s="4">
        <v>26375</v>
      </c>
    </row>
    <row r="10" spans="1:11" x14ac:dyDescent="0.25">
      <c r="A10" t="s">
        <v>31</v>
      </c>
      <c r="B10" s="4">
        <v>43078</v>
      </c>
      <c r="C10" s="4">
        <v>47242</v>
      </c>
      <c r="D10" s="4">
        <v>51753</v>
      </c>
      <c r="E10" s="4">
        <v>53705</v>
      </c>
      <c r="F10" s="4">
        <v>50017</v>
      </c>
      <c r="G10" s="4">
        <v>52878</v>
      </c>
      <c r="H10" s="4">
        <v>54576</v>
      </c>
      <c r="I10" s="4">
        <v>60733</v>
      </c>
      <c r="J10" s="4">
        <v>67185</v>
      </c>
      <c r="K10" s="4">
        <v>70881</v>
      </c>
    </row>
    <row r="11" spans="1:11" x14ac:dyDescent="0.25">
      <c r="A11" t="s">
        <v>32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</row>
    <row r="12" spans="1:11" x14ac:dyDescent="0.25">
      <c r="A12" t="s">
        <v>33</v>
      </c>
      <c r="B12" s="4">
        <v>7095</v>
      </c>
      <c r="C12" s="4">
        <v>8527</v>
      </c>
      <c r="D12" s="4">
        <v>10527</v>
      </c>
      <c r="E12" s="4">
        <v>11851</v>
      </c>
      <c r="F12" s="4">
        <v>11955</v>
      </c>
      <c r="G12" s="4">
        <v>13503</v>
      </c>
      <c r="H12" s="4">
        <v>19282</v>
      </c>
      <c r="I12" s="4">
        <v>20154</v>
      </c>
      <c r="J12" s="4">
        <v>19863</v>
      </c>
      <c r="K12" s="4">
        <v>22114</v>
      </c>
    </row>
    <row r="13" spans="1:11" x14ac:dyDescent="0.25">
      <c r="A13" t="s">
        <v>34</v>
      </c>
      <c r="B13" s="4">
        <v>2244</v>
      </c>
      <c r="C13" s="4">
        <v>3595</v>
      </c>
      <c r="D13" s="4">
        <v>3819</v>
      </c>
      <c r="E13" s="4">
        <v>3693</v>
      </c>
      <c r="F13" s="4">
        <v>2225</v>
      </c>
      <c r="G13" s="4">
        <v>3595</v>
      </c>
      <c r="H13" s="4">
        <v>5461</v>
      </c>
      <c r="I13" s="4">
        <v>6273</v>
      </c>
      <c r="J13" s="4">
        <v>6353</v>
      </c>
      <c r="K13" s="4">
        <v>7399</v>
      </c>
    </row>
    <row r="14" spans="1:11" x14ac:dyDescent="0.25">
      <c r="A14" t="s">
        <v>35</v>
      </c>
      <c r="B14" s="4">
        <v>1307</v>
      </c>
      <c r="C14" s="4">
        <v>1398</v>
      </c>
      <c r="D14" s="4">
        <v>1817</v>
      </c>
      <c r="E14" s="4">
        <v>6453</v>
      </c>
      <c r="F14" s="4">
        <v>5756</v>
      </c>
      <c r="G14" s="4">
        <v>4634</v>
      </c>
      <c r="H14" s="4">
        <v>4137</v>
      </c>
      <c r="I14" s="4">
        <v>11863</v>
      </c>
      <c r="J14" s="4">
        <v>13651</v>
      </c>
      <c r="K14" s="4">
        <v>12569</v>
      </c>
    </row>
    <row r="15" spans="1:11" x14ac:dyDescent="0.25">
      <c r="A15" t="s">
        <v>36</v>
      </c>
      <c r="B15" s="4">
        <v>629</v>
      </c>
      <c r="C15" s="4">
        <v>536</v>
      </c>
      <c r="D15" s="4">
        <v>284</v>
      </c>
      <c r="E15" s="4">
        <v>333</v>
      </c>
      <c r="F15" s="4">
        <v>741</v>
      </c>
      <c r="G15" s="4">
        <v>700</v>
      </c>
      <c r="H15" s="4">
        <v>776</v>
      </c>
      <c r="I15" s="4">
        <v>223</v>
      </c>
      <c r="J15" s="4">
        <v>56</v>
      </c>
      <c r="K15" s="4">
        <v>25</v>
      </c>
    </row>
    <row r="16" spans="1:11" x14ac:dyDescent="0.25">
      <c r="A16" t="s">
        <v>37</v>
      </c>
      <c r="B16" s="4">
        <v>2613</v>
      </c>
      <c r="C16" s="4">
        <v>4991</v>
      </c>
      <c r="D16" s="4">
        <v>6898</v>
      </c>
      <c r="E16" s="4">
        <v>7113</v>
      </c>
      <c r="F16" s="4">
        <v>8655</v>
      </c>
      <c r="G16" s="4">
        <v>8756</v>
      </c>
      <c r="H16" s="4">
        <v>7568</v>
      </c>
      <c r="I16" s="4">
        <v>8265</v>
      </c>
      <c r="J16" s="4">
        <v>9621</v>
      </c>
      <c r="K16" s="4">
        <v>11608</v>
      </c>
    </row>
    <row r="17" spans="1:11" x14ac:dyDescent="0.25">
      <c r="A17" t="s">
        <v>38</v>
      </c>
      <c r="B17" s="4">
        <v>13888</v>
      </c>
      <c r="C17" s="4">
        <v>19047</v>
      </c>
      <c r="D17" s="4">
        <v>23345</v>
      </c>
      <c r="E17" s="4">
        <v>29443</v>
      </c>
      <c r="F17" s="4">
        <v>29332</v>
      </c>
      <c r="G17" s="4">
        <v>31188</v>
      </c>
      <c r="H17" s="4">
        <v>37224</v>
      </c>
      <c r="I17" s="4">
        <v>46778</v>
      </c>
      <c r="J17" s="4">
        <v>49544</v>
      </c>
      <c r="K17" s="4">
        <v>53715</v>
      </c>
    </row>
    <row r="18" spans="1:11" x14ac:dyDescent="0.25">
      <c r="A18" t="s">
        <v>39</v>
      </c>
      <c r="B18" s="4">
        <v>56966</v>
      </c>
      <c r="C18" s="4">
        <v>66289</v>
      </c>
      <c r="D18" s="4">
        <v>75098</v>
      </c>
      <c r="E18" s="4">
        <v>83148</v>
      </c>
      <c r="F18" s="4">
        <v>79349</v>
      </c>
      <c r="G18" s="4">
        <v>84066</v>
      </c>
      <c r="H18" s="4">
        <v>91800</v>
      </c>
      <c r="I18" s="4">
        <v>107511</v>
      </c>
      <c r="J18" s="4">
        <v>116729</v>
      </c>
      <c r="K18" s="4">
        <v>124596</v>
      </c>
    </row>
    <row r="19" spans="1:11" x14ac:dyDescent="0.25">
      <c r="A19" t="s">
        <v>40</v>
      </c>
      <c r="B19" s="4">
        <v>173</v>
      </c>
      <c r="C19" s="4">
        <v>140</v>
      </c>
      <c r="D19" s="4">
        <v>467</v>
      </c>
      <c r="E19" s="4">
        <v>415</v>
      </c>
      <c r="F19" s="4">
        <v>849</v>
      </c>
      <c r="G19" s="4">
        <v>2331</v>
      </c>
      <c r="H19" s="4">
        <v>3132</v>
      </c>
      <c r="I19" s="4">
        <v>3016</v>
      </c>
      <c r="J19" s="4">
        <v>4565</v>
      </c>
      <c r="K19" s="4">
        <v>4539</v>
      </c>
    </row>
    <row r="20" spans="1:11" x14ac:dyDescent="0.25">
      <c r="A20" t="s">
        <v>41</v>
      </c>
      <c r="B20" s="4" t="s">
        <v>12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</row>
    <row r="21" spans="1:11" x14ac:dyDescent="0.25">
      <c r="A21" t="s">
        <v>42</v>
      </c>
      <c r="B21" s="4">
        <v>11858</v>
      </c>
      <c r="C21" s="4">
        <v>15363</v>
      </c>
      <c r="D21" s="4">
        <v>12772</v>
      </c>
      <c r="E21" s="4">
        <v>13598</v>
      </c>
      <c r="F21" s="4">
        <v>13256</v>
      </c>
      <c r="G21" s="4">
        <v>16307</v>
      </c>
      <c r="H21" s="4">
        <v>17724</v>
      </c>
      <c r="I21" s="4">
        <v>20849</v>
      </c>
      <c r="J21" s="4">
        <v>29038</v>
      </c>
      <c r="K21" s="4">
        <v>34647</v>
      </c>
    </row>
    <row r="22" spans="1:11" x14ac:dyDescent="0.25">
      <c r="A22" t="s">
        <v>43</v>
      </c>
      <c r="B22" s="4">
        <v>12031</v>
      </c>
      <c r="C22" s="4">
        <v>15503</v>
      </c>
      <c r="D22" s="4">
        <v>13239</v>
      </c>
      <c r="E22" s="4">
        <v>14013</v>
      </c>
      <c r="F22" s="4">
        <v>14105</v>
      </c>
      <c r="G22" s="4">
        <v>18638</v>
      </c>
      <c r="H22" s="4">
        <v>20856</v>
      </c>
      <c r="I22" s="4">
        <v>23865</v>
      </c>
      <c r="J22" s="4">
        <v>33603</v>
      </c>
      <c r="K22" s="4">
        <v>39186</v>
      </c>
    </row>
    <row r="23" spans="1:11" x14ac:dyDescent="0.25">
      <c r="A23" t="s">
        <v>44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4014</v>
      </c>
      <c r="I23" s="4">
        <v>4587</v>
      </c>
      <c r="J23" s="4">
        <v>4602</v>
      </c>
      <c r="K23" s="4">
        <v>7057</v>
      </c>
    </row>
    <row r="24" spans="1:11" x14ac:dyDescent="0.25">
      <c r="A24" t="s">
        <v>45</v>
      </c>
      <c r="B24" s="4" t="s">
        <v>12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</row>
    <row r="25" spans="1:11" x14ac:dyDescent="0.25">
      <c r="A25" t="s">
        <v>46</v>
      </c>
      <c r="B25" s="4">
        <v>405</v>
      </c>
      <c r="C25" s="4">
        <v>50</v>
      </c>
      <c r="D25" s="4">
        <v>115</v>
      </c>
      <c r="E25" s="4">
        <v>153</v>
      </c>
      <c r="F25" s="4">
        <v>320</v>
      </c>
      <c r="G25" s="4">
        <v>422</v>
      </c>
      <c r="H25" s="4">
        <v>1086</v>
      </c>
      <c r="I25" s="4">
        <v>2277</v>
      </c>
      <c r="J25" s="4">
        <v>2788</v>
      </c>
      <c r="K25" s="4">
        <v>2558</v>
      </c>
    </row>
    <row r="26" spans="1:11" x14ac:dyDescent="0.25">
      <c r="A26" t="s">
        <v>47</v>
      </c>
      <c r="B26" s="4">
        <v>405</v>
      </c>
      <c r="C26" s="4">
        <v>50</v>
      </c>
      <c r="D26" s="4">
        <v>115</v>
      </c>
      <c r="E26" s="4">
        <v>153</v>
      </c>
      <c r="F26" s="4">
        <v>320</v>
      </c>
      <c r="G26" s="4">
        <v>422</v>
      </c>
      <c r="H26" s="4">
        <v>5100</v>
      </c>
      <c r="I26" s="4">
        <v>6864</v>
      </c>
      <c r="J26" s="4">
        <v>7390</v>
      </c>
      <c r="K26" s="4">
        <v>9615</v>
      </c>
    </row>
    <row r="27" spans="1:11" x14ac:dyDescent="0.25">
      <c r="A27" t="s">
        <v>48</v>
      </c>
      <c r="B27" s="4">
        <v>12436</v>
      </c>
      <c r="C27" s="4">
        <v>15553</v>
      </c>
      <c r="D27" s="4">
        <v>13354</v>
      </c>
      <c r="E27" s="4">
        <v>14166</v>
      </c>
      <c r="F27" s="4">
        <v>14425</v>
      </c>
      <c r="G27" s="4">
        <v>19060</v>
      </c>
      <c r="H27" s="4">
        <v>25956</v>
      </c>
      <c r="I27" s="4">
        <v>30729</v>
      </c>
      <c r="J27" s="4">
        <v>40993</v>
      </c>
      <c r="K27" s="4">
        <v>48801</v>
      </c>
    </row>
    <row r="28" spans="1:11" x14ac:dyDescent="0.25">
      <c r="A28" t="s">
        <v>49</v>
      </c>
      <c r="B28" s="4">
        <v>286</v>
      </c>
      <c r="C28" s="4">
        <v>572</v>
      </c>
      <c r="D28" s="4">
        <v>1144</v>
      </c>
      <c r="E28" s="4">
        <v>1144</v>
      </c>
      <c r="F28" s="4">
        <v>1088</v>
      </c>
      <c r="G28" s="4">
        <v>2170</v>
      </c>
      <c r="H28" s="4">
        <v>2122</v>
      </c>
      <c r="I28" s="4">
        <v>2124</v>
      </c>
      <c r="J28" s="4">
        <v>2098</v>
      </c>
      <c r="K28" s="4">
        <v>2069</v>
      </c>
    </row>
    <row r="29" spans="1:11" x14ac:dyDescent="0.25">
      <c r="A29" t="s">
        <v>50</v>
      </c>
      <c r="B29" s="4">
        <v>3070</v>
      </c>
      <c r="C29" s="4">
        <v>2784</v>
      </c>
      <c r="D29" s="4">
        <v>2213</v>
      </c>
      <c r="E29" s="4">
        <v>2216</v>
      </c>
      <c r="F29" s="4">
        <v>36</v>
      </c>
      <c r="G29" s="4">
        <v>149</v>
      </c>
      <c r="H29" s="4">
        <v>282</v>
      </c>
      <c r="I29" s="4">
        <v>600</v>
      </c>
      <c r="J29" s="4">
        <v>200</v>
      </c>
      <c r="K29" s="4">
        <v>166</v>
      </c>
    </row>
    <row r="30" spans="1:11" x14ac:dyDescent="0.25">
      <c r="A30" t="s">
        <v>51</v>
      </c>
      <c r="B30" s="4">
        <v>41174</v>
      </c>
      <c r="C30" s="4">
        <v>47380</v>
      </c>
      <c r="D30" s="4">
        <v>58387</v>
      </c>
      <c r="E30" s="4">
        <v>65622</v>
      </c>
      <c r="F30" s="4">
        <v>63799</v>
      </c>
      <c r="G30" s="4">
        <v>62629</v>
      </c>
      <c r="H30" s="4">
        <v>63046</v>
      </c>
      <c r="I30" s="4">
        <v>73627</v>
      </c>
      <c r="J30" s="4">
        <v>73052</v>
      </c>
      <c r="K30" s="4">
        <v>73172</v>
      </c>
    </row>
    <row r="31" spans="1:11" x14ac:dyDescent="0.25">
      <c r="A31" t="s">
        <v>52</v>
      </c>
      <c r="B31" s="4">
        <v>0</v>
      </c>
      <c r="C31" s="4">
        <v>0</v>
      </c>
      <c r="D31" s="4">
        <v>0</v>
      </c>
      <c r="E31" s="4">
        <v>0</v>
      </c>
      <c r="F31" s="4">
        <v>1</v>
      </c>
      <c r="G31" s="4">
        <v>58</v>
      </c>
      <c r="H31" s="4">
        <v>394</v>
      </c>
      <c r="I31" s="4">
        <v>431</v>
      </c>
      <c r="J31" s="4">
        <v>386</v>
      </c>
      <c r="K31" s="4">
        <v>388</v>
      </c>
    </row>
    <row r="32" spans="1:11" x14ac:dyDescent="0.25">
      <c r="A32" t="s">
        <v>53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x14ac:dyDescent="0.25">
      <c r="A33" t="s">
        <v>54</v>
      </c>
      <c r="B33" s="4">
        <v>44530</v>
      </c>
      <c r="C33" s="4">
        <v>50736</v>
      </c>
      <c r="D33" s="4">
        <v>61744</v>
      </c>
      <c r="E33" s="4">
        <v>68982</v>
      </c>
      <c r="F33" s="4">
        <v>64924</v>
      </c>
      <c r="G33" s="4">
        <v>65006</v>
      </c>
      <c r="H33" s="4">
        <v>65844</v>
      </c>
      <c r="I33" s="4">
        <v>76782</v>
      </c>
      <c r="J33" s="4">
        <v>75736</v>
      </c>
      <c r="K33" s="4">
        <v>75795</v>
      </c>
    </row>
    <row r="34" spans="1:11" x14ac:dyDescent="0.25">
      <c r="A34" t="s">
        <v>55</v>
      </c>
      <c r="B34" s="4">
        <v>56966</v>
      </c>
      <c r="C34" s="4">
        <v>66289</v>
      </c>
      <c r="D34" s="4">
        <v>75098</v>
      </c>
      <c r="E34" s="4">
        <v>83148</v>
      </c>
      <c r="F34" s="4">
        <v>79349</v>
      </c>
      <c r="G34" s="4">
        <v>84066</v>
      </c>
      <c r="H34" s="4">
        <v>91800</v>
      </c>
      <c r="I34" s="4">
        <v>107511</v>
      </c>
      <c r="J34" s="4">
        <v>116729</v>
      </c>
      <c r="K34" s="4">
        <v>124596</v>
      </c>
    </row>
    <row r="35" spans="1:11" x14ac:dyDescent="0.25">
      <c r="A35" t="s">
        <v>56</v>
      </c>
      <c r="B35" s="4">
        <v>457.12</v>
      </c>
      <c r="C35" s="4">
        <v>457.12</v>
      </c>
      <c r="D35" s="4">
        <v>457.12</v>
      </c>
      <c r="E35" s="4">
        <v>457.13</v>
      </c>
      <c r="F35" s="4">
        <v>434.66</v>
      </c>
      <c r="G35" s="4">
        <v>433.6</v>
      </c>
      <c r="H35" s="4">
        <v>424.08</v>
      </c>
      <c r="I35" s="4">
        <v>424.51</v>
      </c>
      <c r="J35" s="4">
        <v>419.3</v>
      </c>
      <c r="K35" s="4">
        <v>413.64</v>
      </c>
    </row>
    <row r="37" spans="1:11" x14ac:dyDescent="0.25">
      <c r="A37" t="s">
        <v>57</v>
      </c>
    </row>
    <row r="38" spans="1:11" x14ac:dyDescent="0.25">
      <c r="A38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"/>
  <sheetViews>
    <sheetView workbookViewId="0">
      <selection activeCell="I12" sqref="I12"/>
    </sheetView>
  </sheetViews>
  <sheetFormatPr defaultRowHeight="15" x14ac:dyDescent="0.25"/>
  <cols>
    <col min="1" max="1" width="42.28515625" bestFit="1" customWidth="1"/>
    <col min="2" max="3" width="9.7109375" bestFit="1" customWidth="1"/>
    <col min="4" max="4" width="10.140625" bestFit="1" customWidth="1"/>
    <col min="5" max="8" width="10.7109375" bestFit="1" customWidth="1"/>
    <col min="9" max="9" width="10.140625" bestFit="1" customWidth="1"/>
    <col min="10" max="11" width="10.7109375" bestFit="1" customWidth="1"/>
  </cols>
  <sheetData>
    <row r="2" spans="1:11" x14ac:dyDescent="0.25">
      <c r="A2" t="s">
        <v>66</v>
      </c>
    </row>
    <row r="5" spans="1:11" x14ac:dyDescent="0.25">
      <c r="A5" s="1" t="s">
        <v>97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5">
      <c r="A6" t="s">
        <v>59</v>
      </c>
      <c r="B6" s="4">
        <v>9825</v>
      </c>
      <c r="C6" s="4">
        <v>8353</v>
      </c>
      <c r="D6" s="4">
        <v>10028</v>
      </c>
      <c r="E6" s="4">
        <v>11531</v>
      </c>
      <c r="F6" s="4">
        <v>13218</v>
      </c>
      <c r="G6" s="4">
        <v>14841</v>
      </c>
      <c r="H6" s="4">
        <v>17003</v>
      </c>
      <c r="I6" s="4">
        <v>23224</v>
      </c>
      <c r="J6" s="4">
        <v>23885</v>
      </c>
      <c r="K6" s="4">
        <v>22467</v>
      </c>
    </row>
    <row r="7" spans="1:11" x14ac:dyDescent="0.25">
      <c r="A7" t="s">
        <v>60</v>
      </c>
      <c r="B7" s="4">
        <v>-2563</v>
      </c>
      <c r="C7" s="4">
        <v>999</v>
      </c>
      <c r="D7" s="4">
        <v>-885</v>
      </c>
      <c r="E7" s="4">
        <v>-14664</v>
      </c>
      <c r="F7" s="4">
        <v>4533</v>
      </c>
      <c r="G7" s="4">
        <v>-632</v>
      </c>
      <c r="H7" s="4">
        <v>-331</v>
      </c>
      <c r="I7" s="4">
        <v>-7373</v>
      </c>
      <c r="J7" s="4">
        <v>-6485</v>
      </c>
      <c r="K7" s="4">
        <v>-1071</v>
      </c>
    </row>
    <row r="8" spans="1:11" x14ac:dyDescent="0.25">
      <c r="A8" t="s">
        <v>61</v>
      </c>
      <c r="B8" s="4">
        <v>-3144</v>
      </c>
      <c r="C8" s="4">
        <v>-4935</v>
      </c>
      <c r="D8" s="4">
        <v>-6813</v>
      </c>
      <c r="E8" s="4">
        <v>-6939</v>
      </c>
      <c r="F8" s="4">
        <v>-20505</v>
      </c>
      <c r="G8" s="4">
        <v>-14512</v>
      </c>
      <c r="H8" s="4">
        <v>-17591</v>
      </c>
      <c r="I8" s="4">
        <v>-9786</v>
      </c>
      <c r="J8" s="4">
        <v>-24642</v>
      </c>
      <c r="K8" s="4">
        <v>-26695</v>
      </c>
    </row>
    <row r="9" spans="1:11" x14ac:dyDescent="0.25">
      <c r="A9" t="s">
        <v>62</v>
      </c>
      <c r="B9" s="4">
        <v>4118</v>
      </c>
      <c r="C9" s="4">
        <v>4417</v>
      </c>
      <c r="D9" s="4">
        <v>2330</v>
      </c>
      <c r="E9" s="4">
        <v>-10072</v>
      </c>
      <c r="F9" s="4">
        <v>-2754</v>
      </c>
      <c r="G9" s="4">
        <v>-303</v>
      </c>
      <c r="H9" s="4">
        <v>-919</v>
      </c>
      <c r="I9" s="4">
        <v>6065</v>
      </c>
      <c r="J9" s="4">
        <v>-7242</v>
      </c>
      <c r="K9" s="4">
        <v>-5299</v>
      </c>
    </row>
    <row r="10" spans="1:11" x14ac:dyDescent="0.25">
      <c r="A10" t="s">
        <v>63</v>
      </c>
      <c r="B10" s="4">
        <v>-4347</v>
      </c>
      <c r="C10" s="4">
        <v>-7593</v>
      </c>
      <c r="D10" s="4">
        <v>-7811</v>
      </c>
      <c r="E10" s="4">
        <v>-7809</v>
      </c>
      <c r="F10" s="4">
        <v>-6745</v>
      </c>
      <c r="G10" s="4">
        <v>-7285</v>
      </c>
      <c r="H10" s="4">
        <v>-6917</v>
      </c>
      <c r="I10" s="4">
        <v>-5621</v>
      </c>
      <c r="J10" s="4">
        <v>-9036</v>
      </c>
      <c r="K10" s="4">
        <v>-15138</v>
      </c>
    </row>
    <row r="11" spans="1:11" x14ac:dyDescent="0.25">
      <c r="A11" t="s">
        <v>64</v>
      </c>
      <c r="B11" s="4">
        <v>2748</v>
      </c>
      <c r="C11" s="4">
        <v>2247</v>
      </c>
      <c r="D11" s="4">
        <v>2723</v>
      </c>
      <c r="E11" s="4">
        <v>2760</v>
      </c>
      <c r="F11" s="4">
        <v>1998</v>
      </c>
      <c r="G11" s="4">
        <v>2445</v>
      </c>
      <c r="H11" s="4">
        <v>3307</v>
      </c>
      <c r="I11" s="4">
        <v>2107</v>
      </c>
      <c r="J11" s="4">
        <v>2161</v>
      </c>
      <c r="K11" s="4">
        <v>2579</v>
      </c>
    </row>
    <row r="12" spans="1:11" x14ac:dyDescent="0.25">
      <c r="A12" t="s">
        <v>65</v>
      </c>
      <c r="B12" s="4">
        <v>7077</v>
      </c>
      <c r="C12" s="4">
        <v>6106</v>
      </c>
      <c r="D12" s="4">
        <v>7305</v>
      </c>
      <c r="E12" s="4">
        <v>8771</v>
      </c>
      <c r="F12" s="4">
        <v>11220</v>
      </c>
      <c r="G12" s="4">
        <v>12396</v>
      </c>
      <c r="H12" s="4">
        <v>13696</v>
      </c>
      <c r="I12" s="4">
        <v>21117</v>
      </c>
      <c r="J12" s="4">
        <v>21724</v>
      </c>
      <c r="K12" s="4">
        <v>19888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B5B5-C8D0-4CDC-BF2F-E57C351FF714}">
  <dimension ref="A2:M33"/>
  <sheetViews>
    <sheetView zoomScale="138" workbookViewId="0">
      <selection activeCell="I15" sqref="I15"/>
    </sheetView>
  </sheetViews>
  <sheetFormatPr defaultRowHeight="15" x14ac:dyDescent="0.25"/>
  <cols>
    <col min="1" max="1" width="25.5703125" customWidth="1"/>
    <col min="3" max="3" width="9" bestFit="1" customWidth="1"/>
    <col min="4" max="4" width="9.5703125" bestFit="1" customWidth="1"/>
    <col min="5" max="11" width="9" bestFit="1" customWidth="1"/>
  </cols>
  <sheetData>
    <row r="2" spans="1:13" x14ac:dyDescent="0.25">
      <c r="A2" s="1" t="s">
        <v>67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3" x14ac:dyDescent="0.25">
      <c r="A3" t="s">
        <v>68</v>
      </c>
      <c r="B3" s="2">
        <f>IS!B13/IS!B6</f>
        <v>0.30407030702502036</v>
      </c>
      <c r="C3" s="2">
        <f>IS!C13/IS!C6</f>
        <v>0.32270172161623994</v>
      </c>
      <c r="D3" s="2">
        <f>IS!D13/IS!D6</f>
        <v>0.30809475145284543</v>
      </c>
      <c r="E3" s="2">
        <f>IS!E13/IS!E6</f>
        <v>0.30270920121900075</v>
      </c>
      <c r="F3" s="2">
        <f>IS!F13/IS!F6</f>
        <v>0.2997711050614224</v>
      </c>
      <c r="G3" s="2">
        <f>IS!G13/IS!G6</f>
        <v>0.26943441214628844</v>
      </c>
      <c r="H3" s="2">
        <f>IS!H13/IS!H6</f>
        <v>0.2678590507938543</v>
      </c>
      <c r="I3" s="2">
        <f>IS!I13/IS!I6</f>
        <v>0.29306633681688465</v>
      </c>
      <c r="J3" s="2">
        <f>IS!J13/IS!J6</f>
        <v>0.27260844306738963</v>
      </c>
      <c r="K3" s="2">
        <f>IS!K13/IS!K6</f>
        <v>0.25310434340460836</v>
      </c>
    </row>
    <row r="4" spans="1:13" x14ac:dyDescent="0.25">
      <c r="A4" t="s">
        <v>69</v>
      </c>
      <c r="B4" s="2">
        <f>IS!B15/IS!B6</f>
        <v>0.27912570790007007</v>
      </c>
      <c r="C4" s="2">
        <f>IS!C15/IS!C6</f>
        <v>0.30478070098151511</v>
      </c>
      <c r="D4" s="2">
        <f>IS!D15/IS!D6</f>
        <v>0.28584066746998976</v>
      </c>
      <c r="E4" s="2">
        <f>IS!E15/IS!E6</f>
        <v>0.27890234014594456</v>
      </c>
      <c r="F4" s="2">
        <f>IS!F15/IS!F6</f>
        <v>0.27453848550106319</v>
      </c>
      <c r="G4" s="2">
        <f>IS!G15/IS!G6</f>
        <v>0.24592961417534509</v>
      </c>
      <c r="H4" s="2">
        <f>IS!H15/IS!H6</f>
        <v>0.23694894971899907</v>
      </c>
      <c r="I4" s="2">
        <f>IS!I15/IS!I6</f>
        <v>0.26124687113457284</v>
      </c>
      <c r="J4" s="2">
        <f>IS!J15/IS!J6</f>
        <v>0.24456170926930029</v>
      </c>
      <c r="K4" s="2">
        <f>IS!K15/IS!K6</f>
        <v>0.22483742339497417</v>
      </c>
    </row>
    <row r="5" spans="1:13" x14ac:dyDescent="0.25">
      <c r="A5" t="s">
        <v>70</v>
      </c>
      <c r="B5" s="2">
        <f>IS!B17/IS!B6</f>
        <v>0.27895524366914787</v>
      </c>
      <c r="C5" s="2">
        <f>IS!C17/IS!C6</f>
        <v>0.30456924351089887</v>
      </c>
      <c r="D5" s="2">
        <f>IS!D17/IS!D6</f>
        <v>0.28584066746998976</v>
      </c>
      <c r="E5" s="2">
        <f>IS!E17/IS!E6</f>
        <v>0.27890234014594456</v>
      </c>
      <c r="F5" s="2">
        <f>IS!F17/IS!F6</f>
        <v>0.27453848550106319</v>
      </c>
      <c r="G5" s="2">
        <f>IS!G17/IS!G6</f>
        <v>0.24592961417534509</v>
      </c>
      <c r="H5" s="2">
        <f>IS!H17/IS!H6</f>
        <v>0.23513259396969891</v>
      </c>
      <c r="I5" s="2">
        <f>IS!I17/IS!I6</f>
        <v>0.25934763764572966</v>
      </c>
      <c r="J5" s="2">
        <f>IS!J17/IS!J6</f>
        <v>0.24294797314743094</v>
      </c>
      <c r="K5" s="2">
        <f>IS!K17/IS!K6</f>
        <v>0.22293735113870528</v>
      </c>
    </row>
    <row r="6" spans="1:13" x14ac:dyDescent="0.25">
      <c r="A6" t="s">
        <v>71</v>
      </c>
      <c r="B6" s="2">
        <f>IS!B19/IS!B6</f>
        <v>0.2018296494118984</v>
      </c>
      <c r="C6" s="2">
        <f>IS!C19/IS!C6</f>
        <v>0.2180126522053252</v>
      </c>
      <c r="D6" s="2">
        <f>IS!D19/IS!D6</f>
        <v>0.2057473192904318</v>
      </c>
      <c r="E6" s="2">
        <f>IS!E19/IS!E6</f>
        <v>0.20064584673022617</v>
      </c>
      <c r="F6" s="2">
        <f>IS!F19/IS!F6</f>
        <v>0.2170980455893706</v>
      </c>
      <c r="G6" s="2">
        <f>IS!G19/IS!G6</f>
        <v>0.18004371354769336</v>
      </c>
      <c r="H6" s="2">
        <f>IS!H19/IS!H6</f>
        <v>0.17729769002286472</v>
      </c>
      <c r="I6" s="2">
        <f>IS!I19/IS!I6</f>
        <v>0.18847213970566751</v>
      </c>
      <c r="J6" s="2">
        <f>IS!J19/IS!J6</f>
        <v>0.17839852827265684</v>
      </c>
      <c r="K6" s="2">
        <f>IS!K19/IS!K6</f>
        <v>0.16120507399577166</v>
      </c>
      <c r="M6" s="8"/>
    </row>
    <row r="7" spans="1:13" x14ac:dyDescent="0.25">
      <c r="A7" t="s">
        <v>72</v>
      </c>
      <c r="B7" s="2"/>
      <c r="C7" s="2">
        <f>IS!C19/AVERAGE(BS!B18:C18)</f>
        <v>0.20075453328465376</v>
      </c>
      <c r="D7" s="2">
        <f>IS!D19/AVERAGE(BS!C18:D18)</f>
        <v>0.19080962181813038</v>
      </c>
      <c r="E7" s="2">
        <f>IS!E19/AVERAGE(BS!D18:E18)</f>
        <v>0.18140110966469927</v>
      </c>
      <c r="F7" s="2">
        <f>IS!F19/AVERAGE(BS!E18:F18)</f>
        <v>0.19728364215954755</v>
      </c>
      <c r="G7" s="2">
        <f>IS!G19/AVERAGE(BS!F18:G18)</f>
        <v>0.18852614509071994</v>
      </c>
      <c r="H7" s="2">
        <f>IS!H19/AVERAGE(BS!G18:H18)</f>
        <v>0.18871186016626296</v>
      </c>
      <c r="I7" s="2">
        <f>IS!I19/AVERAGE(BS!H18:I18)</f>
        <v>0.1941789464705912</v>
      </c>
      <c r="J7" s="2">
        <f>IS!J19/AVERAGE(BS!I18:J18)</f>
        <v>0.19719942918301819</v>
      </c>
      <c r="K7" s="2">
        <f>IS!K19/AVERAGE(BS!J18:K18)</f>
        <v>0.19968921578783796</v>
      </c>
    </row>
    <row r="8" spans="1:13" x14ac:dyDescent="0.25">
      <c r="A8" t="s">
        <v>73</v>
      </c>
      <c r="C8" s="2">
        <f>IS!C19/AVERAGE(BS!B33:C33)</f>
        <v>0.25973589738206704</v>
      </c>
      <c r="D8" s="2">
        <f>IS!D19/AVERAGE(BS!C33:D33)</f>
        <v>0.2398470839260313</v>
      </c>
      <c r="E8" s="2">
        <f>IS!E19/AVERAGE(BS!D33:E33)</f>
        <v>0.21958906414944235</v>
      </c>
      <c r="F8" s="2">
        <f>IS!F19/AVERAGE(BS!E33:F33)</f>
        <v>0.23940674801726583</v>
      </c>
      <c r="G8" s="2">
        <f>IS!G19/AVERAGE(BS!F33:G33)</f>
        <v>0.23711229123374125</v>
      </c>
      <c r="H8" s="2">
        <f>IS!H19/AVERAGE(BS!G33:H33)</f>
        <v>0.25363393198318684</v>
      </c>
      <c r="I8" s="2">
        <f>IS!I19/AVERAGE(BS!H33:I33)</f>
        <v>0.27135304923366005</v>
      </c>
      <c r="J8" s="2">
        <f>IS!J19/AVERAGE(BS!I33:J33)</f>
        <v>0.28993299151575552</v>
      </c>
      <c r="K8" s="2">
        <f>IS!K19/AVERAGE(BS!J33:K33)</f>
        <v>0.31802073503111572</v>
      </c>
    </row>
    <row r="9" spans="1:13" x14ac:dyDescent="0.25">
      <c r="A9" t="s">
        <v>74</v>
      </c>
      <c r="C9" s="2">
        <f>IS!C15/(AVERAGE(BS!B33:C33)+AVERAGE(BS!B23:C23))</f>
        <v>0.36310960888459681</v>
      </c>
      <c r="D9" s="2">
        <f>IS!D15/(AVERAGE(BS!C33:D33)+AVERAGE(BS!C23:D23))</f>
        <v>0.33321479374110952</v>
      </c>
      <c r="E9" s="2">
        <f>IS!E15/(AVERAGE(BS!D33:E33)+AVERAGE(BS!D23:E23))</f>
        <v>0.30523384789559843</v>
      </c>
      <c r="F9" s="2">
        <f>IS!F15/(AVERAGE(BS!E33:F33)+AVERAGE(BS!E23:F23))</f>
        <v>0.30274969008110164</v>
      </c>
      <c r="G9" s="2">
        <f>IS!G15/(AVERAGE(BS!F33:G33)+AVERAGE(BS!F23:G23))</f>
        <v>0.32388209035634574</v>
      </c>
      <c r="H9" s="2">
        <f>IS!H15/(AVERAGE(BS!G33:H33)+AVERAGE(BS!G23:H23))</f>
        <v>0.32887946375608018</v>
      </c>
      <c r="I9" s="2">
        <f>IS!I15/(AVERAGE(BS!H33:I33)+AVERAGE(BS!H23:I23))</f>
        <v>0.35473824118708963</v>
      </c>
      <c r="J9" s="2">
        <f>IS!J15/(AVERAGE(BS!I33:J33)+AVERAGE(BS!I23:J23))</f>
        <v>0.37487554651313798</v>
      </c>
      <c r="K9" s="2">
        <f>IS!K15/(AVERAGE(BS!J33:K33)+AVERAGE(BS!J23:K23))</f>
        <v>0.41186347202647222</v>
      </c>
    </row>
    <row r="10" spans="1:13" x14ac:dyDescent="0.25">
      <c r="C10" s="2"/>
      <c r="D10" s="2"/>
      <c r="E10" s="2"/>
      <c r="F10" s="2"/>
      <c r="G10" s="2"/>
      <c r="H10" s="2"/>
      <c r="I10" s="2"/>
      <c r="J10" s="2"/>
      <c r="K10" s="2"/>
    </row>
    <row r="11" spans="1:13" x14ac:dyDescent="0.25">
      <c r="A11" s="1" t="s">
        <v>75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</row>
    <row r="12" spans="1:13" x14ac:dyDescent="0.25">
      <c r="A12" t="s">
        <v>76</v>
      </c>
      <c r="B12" s="3">
        <f>BS!B10/BS!B22</f>
        <v>3.5805834926440028</v>
      </c>
      <c r="C12" s="3">
        <f>BS!C10/BS!C22</f>
        <v>3.0472811713861834</v>
      </c>
      <c r="D12" s="3">
        <f>BS!D10/BS!D22</f>
        <v>3.9091321096759573</v>
      </c>
      <c r="E12" s="3">
        <f>BS!E10/BS!E22</f>
        <v>3.8325126668093912</v>
      </c>
      <c r="F12" s="3">
        <f>BS!F10/BS!F22</f>
        <v>3.5460475008862105</v>
      </c>
      <c r="G12" s="3">
        <f>BS!G10/BS!G22</f>
        <v>2.8371069857280826</v>
      </c>
      <c r="H12" s="3">
        <f>BS!H10/BS!H22</f>
        <v>2.6168009205983891</v>
      </c>
      <c r="I12" s="3">
        <f>BS!I10/BS!I22</f>
        <v>2.5448564843913681</v>
      </c>
      <c r="J12" s="3">
        <f>BS!J10/BS!J22</f>
        <v>1.9993750557985894</v>
      </c>
      <c r="K12" s="3">
        <f>BS!K10/BS!K22</f>
        <v>1.8088347879344664</v>
      </c>
    </row>
    <row r="13" spans="1:13" x14ac:dyDescent="0.25">
      <c r="A13" t="s">
        <v>77</v>
      </c>
      <c r="B13" s="3">
        <f>(BS!B6+BS!B7)/BS!B22</f>
        <v>3.1024021278364224</v>
      </c>
      <c r="C13" s="3">
        <f>(BS!C6+BS!C7)/BS!C22</f>
        <v>2.6415532477584982</v>
      </c>
      <c r="D13" s="3">
        <f>(BS!D6+BS!D7)/BS!D22</f>
        <v>3.3312183699675204</v>
      </c>
      <c r="E13" s="3">
        <f>(BS!E6+BS!E7)/BS!E22</f>
        <v>3.2053807179048026</v>
      </c>
      <c r="F13" s="3">
        <f>(BS!F6+BS!F7)/BS!F22</f>
        <v>2.79099610067352</v>
      </c>
      <c r="G13" s="3">
        <f>(BS!G6+BS!G7)/BS!G22</f>
        <v>2.2009872303895266</v>
      </c>
      <c r="H13" s="3">
        <f>(BS!H6+BS!H7)/BS!H22</f>
        <v>2.0037878787878789</v>
      </c>
      <c r="I13" s="3">
        <f>(BS!I6+BS!I7)/BS!I22</f>
        <v>1.9421747328724073</v>
      </c>
      <c r="J13" s="3">
        <f>(BS!J6+BS!J7)/BS!J22</f>
        <v>1.3940124393655329</v>
      </c>
      <c r="K13" s="3">
        <f>(BS!K6+BS!K7)/BS!K22</f>
        <v>1.1357627724187209</v>
      </c>
    </row>
    <row r="14" spans="1:13" x14ac:dyDescent="0.25">
      <c r="A14" t="s">
        <v>78</v>
      </c>
      <c r="B14" s="3">
        <f>BS!B6/BS!B22</f>
        <v>2.4082786135815808</v>
      </c>
      <c r="C14" s="3">
        <f>BS!C6/BS!C22</f>
        <v>2.0150293491582274</v>
      </c>
      <c r="D14" s="3">
        <f>BS!D6/BS!D22</f>
        <v>2.4754135508724224</v>
      </c>
      <c r="E14" s="3">
        <f>BS!E6/BS!E22</f>
        <v>2.3260543780774996</v>
      </c>
      <c r="F14" s="3">
        <f>BS!F6/BS!F22</f>
        <v>1.859269762495569</v>
      </c>
      <c r="G14" s="3">
        <f>BS!G6/BS!G22</f>
        <v>1.405461959437708</v>
      </c>
      <c r="H14" s="3">
        <f>BS!H6/BS!H22</f>
        <v>1.1173762945914845</v>
      </c>
      <c r="I14" s="3">
        <f>BS!I6/BS!I22</f>
        <v>1.1337104546406871</v>
      </c>
      <c r="J14" s="3">
        <f>BS!J6/BS!J22</f>
        <v>0.71853703538374547</v>
      </c>
      <c r="K14" s="3">
        <f>BS!K6/BS!K22</f>
        <v>0.48695962843872814</v>
      </c>
    </row>
    <row r="15" spans="1:13" x14ac:dyDescent="0.25">
      <c r="A15" t="s">
        <v>79</v>
      </c>
      <c r="B15" s="4">
        <f>BS!B10/(SUM(IS!B8:B12)/365)</f>
        <v>427.93103448275861</v>
      </c>
      <c r="C15" s="4">
        <f>BS!C10/(SUM(IS!C8:C12)/365)</f>
        <v>448.62446664585286</v>
      </c>
      <c r="D15" s="4">
        <f>BS!D10/(SUM(IS!D8:D12)/365)</f>
        <v>416.42443013976458</v>
      </c>
      <c r="E15" s="4">
        <f>BS!E10/(SUM(IS!E8:E12)/365)</f>
        <v>392.98967522052925</v>
      </c>
      <c r="F15" s="4">
        <f>BS!F10/(SUM(IS!F8:F12)/365)</f>
        <v>353.11808510638298</v>
      </c>
      <c r="G15" s="4">
        <f>BS!G10/(SUM(IS!G8:G12)/365)</f>
        <v>308.78281737461003</v>
      </c>
      <c r="H15" s="4">
        <f>BS!H10/(SUM(IS!H8:H12)/365)</f>
        <v>290.70457066137413</v>
      </c>
      <c r="I15" s="4">
        <f>BS!I10/(SUM(IS!I8:I12)/365)</f>
        <v>305.40960004408748</v>
      </c>
      <c r="J15" s="4">
        <f>BS!J10/(SUM(IS!J8:J12)/365)</f>
        <v>272.01913477537437</v>
      </c>
      <c r="K15" s="4">
        <f>BS!K10/(SUM(IS!K8:K12)/365)</f>
        <v>231.74722538226573</v>
      </c>
    </row>
    <row r="16" spans="1:13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1" t="s">
        <v>80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</row>
    <row r="18" spans="1:11" x14ac:dyDescent="0.25">
      <c r="A18" t="s">
        <v>81</v>
      </c>
      <c r="B18" s="3">
        <f>BS!B18/BS!B33</f>
        <v>1.2792724006287897</v>
      </c>
      <c r="C18" s="3">
        <f>BS!C18/BS!C33</f>
        <v>1.3065476190476191</v>
      </c>
      <c r="D18" s="3">
        <f>BS!D18/BS!D33</f>
        <v>1.2162801243845556</v>
      </c>
      <c r="E18" s="3">
        <f>BS!E18/BS!E33</f>
        <v>1.2053579194572497</v>
      </c>
      <c r="F18" s="3">
        <f>BS!F18/BS!F33</f>
        <v>1.2221828599593372</v>
      </c>
      <c r="G18" s="3">
        <f>BS!G18/BS!G33</f>
        <v>1.2932037042734517</v>
      </c>
      <c r="H18" s="3">
        <f>BS!H18/BS!H33</f>
        <v>1.3942044833242209</v>
      </c>
      <c r="I18" s="3">
        <f>BS!I18/BS!I33</f>
        <v>1.4002109869500665</v>
      </c>
      <c r="J18" s="3">
        <f>BS!J18/BS!J33</f>
        <v>1.5412617513467837</v>
      </c>
      <c r="K18" s="3">
        <f>BS!K18/BS!K33</f>
        <v>1.6438551355630318</v>
      </c>
    </row>
    <row r="19" spans="1:11" x14ac:dyDescent="0.25">
      <c r="A19" t="s">
        <v>82</v>
      </c>
      <c r="B19" s="3">
        <f>BS!B23/BS!B33</f>
        <v>0</v>
      </c>
      <c r="C19" s="3">
        <f>BS!C23/BS!C33</f>
        <v>0</v>
      </c>
      <c r="D19" s="3">
        <f>BS!D23/BS!D33</f>
        <v>0</v>
      </c>
      <c r="E19" s="3">
        <f>BS!E23/BS!E33</f>
        <v>0</v>
      </c>
      <c r="F19" s="3">
        <f>BS!F23/BS!F33</f>
        <v>0</v>
      </c>
      <c r="G19" s="3">
        <f>BS!G23/BS!G33</f>
        <v>0</v>
      </c>
      <c r="H19" s="3">
        <f>BS!H23/BS!H33</f>
        <v>6.0962274466921818E-2</v>
      </c>
      <c r="I19" s="3">
        <f>BS!I23/BS!I33</f>
        <v>5.9740564194733142E-2</v>
      </c>
      <c r="J19" s="3">
        <f>BS!J23/BS!J33</f>
        <v>6.0763705503327346E-2</v>
      </c>
      <c r="K19" s="3">
        <f>BS!K23/BS!K33</f>
        <v>9.3106405435714759E-2</v>
      </c>
    </row>
    <row r="20" spans="1:11" x14ac:dyDescent="0.25">
      <c r="A20" s="5" t="s">
        <v>83</v>
      </c>
      <c r="B20" s="3">
        <f>BS!B23/BS!B18</f>
        <v>0</v>
      </c>
      <c r="C20" s="3">
        <f>BS!C23/BS!C18</f>
        <v>0</v>
      </c>
      <c r="D20" s="3">
        <f>BS!D23/BS!D18</f>
        <v>0</v>
      </c>
      <c r="E20" s="3">
        <f>BS!E23/BS!E18</f>
        <v>0</v>
      </c>
      <c r="F20" s="3">
        <f>BS!F23/BS!F18</f>
        <v>0</v>
      </c>
      <c r="G20" s="3">
        <f>BS!G23/BS!G18</f>
        <v>0</v>
      </c>
      <c r="H20" s="3">
        <f>BS!H23/BS!H18</f>
        <v>4.372549019607843E-2</v>
      </c>
      <c r="I20" s="3">
        <f>BS!I23/BS!I18</f>
        <v>4.2665401679828109E-2</v>
      </c>
      <c r="J20" s="3">
        <f>BS!J23/BS!J18</f>
        <v>3.9424650258290568E-2</v>
      </c>
      <c r="K20" s="3">
        <f>BS!K23/BS!K18</f>
        <v>5.6639057433625475E-2</v>
      </c>
    </row>
    <row r="21" spans="1:11" x14ac:dyDescent="0.25">
      <c r="A21" t="s">
        <v>84</v>
      </c>
      <c r="B21" s="6">
        <f>IFERROR(IS!B15/IS!B16,"NA")</f>
        <v>1637.4444444444443</v>
      </c>
      <c r="C21" s="6">
        <f>IFERROR(IS!C15/IS!C16,"NA")</f>
        <v>1441.3333333333333</v>
      </c>
      <c r="D21" s="6" t="str">
        <f>IFERROR(IS!D15/IS!D16,"NA")</f>
        <v>NA</v>
      </c>
      <c r="E21" s="6" t="str">
        <f>IFERROR(IS!E15/IS!E16,"NA")</f>
        <v>NA</v>
      </c>
      <c r="F21" s="6" t="str">
        <f>IFERROR(IS!F15/IS!F16,"NA")</f>
        <v>NA</v>
      </c>
      <c r="G21" s="6" t="str">
        <f>IFERROR(IS!G15/IS!G16,"NA")</f>
        <v>NA</v>
      </c>
      <c r="H21" s="6">
        <f>IFERROR(IS!H15/IS!H16,"NA")</f>
        <v>130.45294117647057</v>
      </c>
      <c r="I21" s="6">
        <f>IFERROR(IS!I15/IS!I16,"NA")</f>
        <v>137.55384615384617</v>
      </c>
      <c r="J21" s="6">
        <f>IFERROR(IS!J15/IS!J16,"NA")</f>
        <v>151.55000000000001</v>
      </c>
      <c r="K21" s="6">
        <f>IFERROR(IS!K15/IS!K16,"NA")</f>
        <v>118.33098591549296</v>
      </c>
    </row>
    <row r="23" spans="1:11" x14ac:dyDescent="0.25">
      <c r="A23" s="1" t="s">
        <v>85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</row>
    <row r="24" spans="1:11" x14ac:dyDescent="0.25">
      <c r="A24" t="s">
        <v>86</v>
      </c>
      <c r="C24" s="7">
        <f>IS!C6/AVERAGE(BS!B18:C18)</f>
        <v>0.92083891120035699</v>
      </c>
      <c r="D24" s="7">
        <f>IS!D6/AVERAGE(BS!C18:D18)</f>
        <v>0.92739785128760066</v>
      </c>
      <c r="E24" s="7">
        <f>IS!E6/AVERAGE(BS!D18:E18)</f>
        <v>0.90408604324911845</v>
      </c>
      <c r="F24" s="7">
        <f>IS!F6/AVERAGE(BS!E18:F18)</f>
        <v>0.9087306227191887</v>
      </c>
      <c r="G24" s="7">
        <f>IS!G6/AVERAGE(BS!F18:G18)</f>
        <v>1.0471131781048251</v>
      </c>
      <c r="H24" s="7">
        <f>IS!H6/AVERAGE(BS!G18:H18)</f>
        <v>1.064378560949814</v>
      </c>
      <c r="I24" s="7">
        <f>IS!I6/AVERAGE(BS!H18:I18)</f>
        <v>1.0302793122306346</v>
      </c>
      <c r="J24" s="7">
        <f>IS!J6/AVERAGE(BS!I18:J18)</f>
        <v>1.1053870852657866</v>
      </c>
      <c r="K24" s="7">
        <f>IS!K6/AVERAGE(BS!J18:K18)</f>
        <v>1.2387278566248834</v>
      </c>
    </row>
    <row r="25" spans="1:11" x14ac:dyDescent="0.25">
      <c r="A25" t="s">
        <v>87</v>
      </c>
      <c r="C25" s="7">
        <f>IS!C6/AVERAGE(BS!B7:C7)</f>
        <v>6.283104517271922</v>
      </c>
      <c r="D25" s="7">
        <f>IS!D6/AVERAGE(BS!C7:D7)</f>
        <v>6.23114574918025</v>
      </c>
      <c r="E25" s="7">
        <f>IS!E6/AVERAGE(BS!D7:E7)</f>
        <v>6.0488753593776421</v>
      </c>
      <c r="F25" s="7">
        <f>IS!F6/AVERAGE(BS!E7:F7)</f>
        <v>5.7990103675777567</v>
      </c>
      <c r="G25" s="7">
        <f>IS!G6/AVERAGE(BS!F7:G7)</f>
        <v>6.1179877721763383</v>
      </c>
      <c r="H25" s="7">
        <f>IS!H6/AVERAGE(BS!G7:H7)</f>
        <v>5.618898961397611</v>
      </c>
      <c r="I25" s="7">
        <f>IS!I6/AVERAGE(BS!H7:I7)</f>
        <v>5.4351658240914746</v>
      </c>
      <c r="J25" s="7">
        <f>IS!J6/AVERAGE(BS!I7:J7)</f>
        <v>5.9028386359306531</v>
      </c>
      <c r="K25" s="7">
        <f>IS!K6/AVERAGE(BS!J7:K7)</f>
        <v>6.2120443871825772</v>
      </c>
    </row>
    <row r="26" spans="1:11" x14ac:dyDescent="0.25">
      <c r="A26" t="s">
        <v>88</v>
      </c>
      <c r="C26" s="7" t="str">
        <f>IFERROR(IS!C8+IS!C12/AVERAGE(BS!B8:C8),"NA")</f>
        <v>NA</v>
      </c>
      <c r="D26" s="7" t="str">
        <f>IFERROR(IS!D8+IS!D12/AVERAGE(BS!C8:D8),"NA")</f>
        <v>NA</v>
      </c>
      <c r="E26" s="7" t="str">
        <f>IFERROR(IS!E8+IS!E12/AVERAGE(BS!D8:E8),"NA")</f>
        <v>NA</v>
      </c>
      <c r="F26" s="7" t="str">
        <f>IFERROR(IS!F8+IS!F12/AVERAGE(BS!E8:F8),"NA")</f>
        <v>NA</v>
      </c>
      <c r="G26" s="7" t="str">
        <f>IFERROR(IS!G8+IS!G12/AVERAGE(BS!F8:G8),"NA")</f>
        <v>NA</v>
      </c>
      <c r="H26" s="7" t="str">
        <f>IFERROR(IS!H8+IS!H12/AVERAGE(BS!G8:H8),"NA")</f>
        <v>NA</v>
      </c>
      <c r="I26" s="7" t="str">
        <f>IFERROR(IS!I8+IS!I12/AVERAGE(BS!H8:I8),"NA")</f>
        <v>NA</v>
      </c>
      <c r="J26" s="7" t="str">
        <f>IFERROR(IS!J8+IS!J12/AVERAGE(BS!I8:J8),"NA")</f>
        <v>NA</v>
      </c>
      <c r="K26" s="7" t="str">
        <f>IFERROR(IS!K8+IS!K12/AVERAGE(BS!J8:K8),"NA")</f>
        <v>NA</v>
      </c>
    </row>
    <row r="27" spans="1:11" x14ac:dyDescent="0.25">
      <c r="A27" t="s">
        <v>89</v>
      </c>
      <c r="C27" s="7">
        <f>IS!C8+IS!C12/AVERAGE(BS!B19:C19)</f>
        <v>32.08306709265176</v>
      </c>
      <c r="D27" s="7">
        <f>IS!D8+IS!D12/AVERAGE(BS!C19:D19)</f>
        <v>20.721581548599669</v>
      </c>
      <c r="E27" s="7">
        <f>IS!E8+IS!E12/AVERAGE(BS!D19:E19)</f>
        <v>16.777777777777779</v>
      </c>
      <c r="F27" s="7">
        <f>IS!F8+IS!F12/AVERAGE(BS!E19:F19)</f>
        <v>12.667721518987342</v>
      </c>
      <c r="G27" s="7">
        <f>IS!G8+IS!G12/AVERAGE(BS!F19:G19)</f>
        <v>7.1748427672955977</v>
      </c>
      <c r="H27" s="7">
        <f>IS!H8+IS!H12/AVERAGE(BS!G19:H19)</f>
        <v>4.4023430349624748</v>
      </c>
      <c r="I27" s="7">
        <f>IS!I8+IS!I12/AVERAGE(BS!H19:I19)</f>
        <v>4.4564085881587507</v>
      </c>
      <c r="J27" s="7">
        <f>IS!J8+IS!J12/AVERAGE(BS!I19:J19)</f>
        <v>5.729059490832344</v>
      </c>
      <c r="K27" s="7">
        <f>IS!K8+IS!K12/AVERAGE(BS!J19:K19)</f>
        <v>6.1043497363796133</v>
      </c>
    </row>
    <row r="28" spans="1:11" x14ac:dyDescent="0.25">
      <c r="A28" t="s">
        <v>90</v>
      </c>
      <c r="C28" s="7">
        <f>365/C25</f>
        <v>58.092301185923979</v>
      </c>
      <c r="D28" s="7">
        <f t="shared" ref="D28:K28" si="0">365/D25</f>
        <v>58.576707188725003</v>
      </c>
      <c r="E28" s="7">
        <f t="shared" si="0"/>
        <v>60.341795509827499</v>
      </c>
      <c r="F28" s="7">
        <f t="shared" si="0"/>
        <v>62.941774003494373</v>
      </c>
      <c r="G28" s="7">
        <f t="shared" si="0"/>
        <v>59.660138854798554</v>
      </c>
      <c r="H28" s="7">
        <f t="shared" si="0"/>
        <v>64.959345684552417</v>
      </c>
      <c r="I28" s="7">
        <f t="shared" si="0"/>
        <v>67.15526477262766</v>
      </c>
      <c r="J28" s="7">
        <f t="shared" si="0"/>
        <v>61.834656596953273</v>
      </c>
      <c r="K28" s="7">
        <f t="shared" si="0"/>
        <v>58.756824203173927</v>
      </c>
    </row>
    <row r="29" spans="1:11" x14ac:dyDescent="0.25">
      <c r="A29" t="s">
        <v>91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</row>
    <row r="30" spans="1:11" x14ac:dyDescent="0.25">
      <c r="A30" t="s">
        <v>92</v>
      </c>
      <c r="C30" s="7">
        <f>365/C27</f>
        <v>11.376717785301732</v>
      </c>
      <c r="D30" s="7">
        <f t="shared" ref="D30:K30" si="1">365/D27</f>
        <v>17.61448560979488</v>
      </c>
      <c r="E30" s="7">
        <f t="shared" si="1"/>
        <v>21.754966887417218</v>
      </c>
      <c r="F30" s="7">
        <f t="shared" si="1"/>
        <v>28.81338995753185</v>
      </c>
      <c r="G30" s="7">
        <f t="shared" si="1"/>
        <v>50.872194950911641</v>
      </c>
      <c r="H30" s="7">
        <f t="shared" si="1"/>
        <v>82.910395010395007</v>
      </c>
      <c r="I30" s="7">
        <f t="shared" si="1"/>
        <v>81.904518577998402</v>
      </c>
      <c r="J30" s="7">
        <f t="shared" si="1"/>
        <v>63.710282740836249</v>
      </c>
      <c r="K30" s="7">
        <f t="shared" si="1"/>
        <v>59.79342858171087</v>
      </c>
    </row>
    <row r="31" spans="1:11" x14ac:dyDescent="0.25"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t="s">
        <v>93</v>
      </c>
      <c r="C32" s="10">
        <f>C28+C29</f>
        <v>58.092301185923979</v>
      </c>
      <c r="D32" s="10">
        <f t="shared" ref="D32:K32" si="2">D28+D29</f>
        <v>58.576707188725003</v>
      </c>
      <c r="E32" s="10">
        <f t="shared" si="2"/>
        <v>60.341795509827499</v>
      </c>
      <c r="F32" s="10">
        <f t="shared" si="2"/>
        <v>62.941774003494373</v>
      </c>
      <c r="G32" s="10">
        <f t="shared" si="2"/>
        <v>59.660138854798554</v>
      </c>
      <c r="H32" s="10">
        <f t="shared" si="2"/>
        <v>64.959345684552417</v>
      </c>
      <c r="I32" s="10">
        <f t="shared" si="2"/>
        <v>67.15526477262766</v>
      </c>
      <c r="J32" s="10">
        <f t="shared" si="2"/>
        <v>61.834656596953273</v>
      </c>
      <c r="K32" s="10">
        <f t="shared" si="2"/>
        <v>58.756824203173927</v>
      </c>
    </row>
    <row r="33" spans="1:11" x14ac:dyDescent="0.25">
      <c r="A33" t="s">
        <v>94</v>
      </c>
      <c r="C33" s="7">
        <f>C28+C29-C30</f>
        <v>46.715583400622251</v>
      </c>
      <c r="D33" s="7">
        <f t="shared" ref="D33:K33" si="3">D28+D29-D30</f>
        <v>40.962221578930126</v>
      </c>
      <c r="E33" s="7">
        <f t="shared" si="3"/>
        <v>38.58682862241028</v>
      </c>
      <c r="F33" s="7">
        <f t="shared" si="3"/>
        <v>34.12838404596252</v>
      </c>
      <c r="G33" s="7">
        <f t="shared" si="3"/>
        <v>8.7879439038869123</v>
      </c>
      <c r="H33" s="7">
        <f t="shared" si="3"/>
        <v>-17.95104932584259</v>
      </c>
      <c r="I33" s="7">
        <f t="shared" si="3"/>
        <v>-14.749253805370742</v>
      </c>
      <c r="J33" s="7">
        <f t="shared" si="3"/>
        <v>-1.8756261438829753</v>
      </c>
      <c r="K33" s="7">
        <f t="shared" si="3"/>
        <v>-1.0366043785369428</v>
      </c>
    </row>
  </sheetData>
  <pageMargins left="0.7" right="0.7" top="0.75" bottom="0.75" header="0.3" footer="0.3"/>
  <ignoredErrors>
    <ignoredError sqref="C24:K27 B15:K15 C7:K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CFS</vt:lpstr>
      <vt:lpstr>Ratio Analysis-infy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Priyal gor</cp:lastModifiedBy>
  <dcterms:created xsi:type="dcterms:W3CDTF">2023-12-12T07:23:37Z</dcterms:created>
  <dcterms:modified xsi:type="dcterms:W3CDTF">2026-06-22T13:57:46Z</dcterms:modified>
</cp:coreProperties>
</file>