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861899DB191D5D9/Documents/"/>
    </mc:Choice>
  </mc:AlternateContent>
  <xr:revisionPtr revIDLastSave="164" documentId="8_{2903A340-708E-430C-BF51-E5E05217AFC6}" xr6:coauthVersionLast="47" xr6:coauthVersionMax="47" xr10:uidLastSave="{F238F9E2-4186-42E9-8943-DA25B08DF576}"/>
  <bookViews>
    <workbookView xWindow="-120" yWindow="-120" windowWidth="20730" windowHeight="11040" xr2:uid="{00000000-000D-0000-FFFF-FFFF00000000}"/>
  </bookViews>
  <sheets>
    <sheet name="IS" sheetId="1" r:id="rId1"/>
    <sheet name="BS" sheetId="3" r:id="rId2"/>
    <sheet name="CFS" sheetId="2" r:id="rId3"/>
    <sheet name="Ratio Analysis-tc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1" l="1"/>
  <c r="J7" i="1"/>
  <c r="I7" i="1"/>
  <c r="H7" i="1"/>
  <c r="G7" i="1"/>
  <c r="F7" i="1"/>
  <c r="E7" i="1"/>
  <c r="D7" i="1"/>
  <c r="C7" i="1"/>
  <c r="D27" i="4"/>
  <c r="E27" i="4"/>
  <c r="F27" i="4"/>
  <c r="F30" i="4" s="1"/>
  <c r="F33" i="4" s="1"/>
  <c r="G27" i="4"/>
  <c r="G30" i="4" s="1"/>
  <c r="H27" i="4"/>
  <c r="I27" i="4"/>
  <c r="I30" i="4" s="1"/>
  <c r="J27" i="4"/>
  <c r="J30" i="4" s="1"/>
  <c r="K27" i="4"/>
  <c r="K30" i="4" s="1"/>
  <c r="C27" i="4"/>
  <c r="C30" i="4" s="1"/>
  <c r="D30" i="4"/>
  <c r="E30" i="4"/>
  <c r="H30" i="4"/>
  <c r="D29" i="4"/>
  <c r="E29" i="4"/>
  <c r="H29" i="4"/>
  <c r="I29" i="4"/>
  <c r="C29" i="4"/>
  <c r="D28" i="4"/>
  <c r="D32" i="4" s="1"/>
  <c r="H28" i="4"/>
  <c r="H32" i="4" s="1"/>
  <c r="C28" i="4"/>
  <c r="C32" i="4" s="1"/>
  <c r="D26" i="4"/>
  <c r="E26" i="4"/>
  <c r="F26" i="4"/>
  <c r="F29" i="4" s="1"/>
  <c r="G26" i="4"/>
  <c r="G29" i="4" s="1"/>
  <c r="H26" i="4"/>
  <c r="I26" i="4"/>
  <c r="J26" i="4"/>
  <c r="J29" i="4" s="1"/>
  <c r="K26" i="4"/>
  <c r="K29" i="4" s="1"/>
  <c r="D25" i="4"/>
  <c r="E25" i="4"/>
  <c r="E28" i="4" s="1"/>
  <c r="E32" i="4" s="1"/>
  <c r="F25" i="4"/>
  <c r="F28" i="4" s="1"/>
  <c r="F32" i="4" s="1"/>
  <c r="G25" i="4"/>
  <c r="G28" i="4" s="1"/>
  <c r="G32" i="4" s="1"/>
  <c r="H25" i="4"/>
  <c r="I25" i="4"/>
  <c r="I28" i="4" s="1"/>
  <c r="I32" i="4" s="1"/>
  <c r="J25" i="4"/>
  <c r="J28" i="4" s="1"/>
  <c r="J32" i="4" s="1"/>
  <c r="K25" i="4"/>
  <c r="K28" i="4" s="1"/>
  <c r="K32" i="4" s="1"/>
  <c r="D24" i="4"/>
  <c r="E24" i="4"/>
  <c r="F24" i="4"/>
  <c r="G24" i="4"/>
  <c r="H24" i="4"/>
  <c r="I24" i="4"/>
  <c r="J24" i="4"/>
  <c r="K24" i="4"/>
  <c r="C26" i="4"/>
  <c r="C25" i="4"/>
  <c r="C24" i="4"/>
  <c r="K21" i="4"/>
  <c r="J21" i="4"/>
  <c r="I21" i="4"/>
  <c r="H21" i="4"/>
  <c r="G21" i="4"/>
  <c r="F21" i="4"/>
  <c r="E21" i="4"/>
  <c r="D21" i="4"/>
  <c r="C21" i="4"/>
  <c r="B21" i="4"/>
  <c r="K15" i="4"/>
  <c r="J15" i="4"/>
  <c r="I15" i="4"/>
  <c r="H15" i="4"/>
  <c r="G15" i="4"/>
  <c r="F15" i="4"/>
  <c r="E15" i="4"/>
  <c r="D15" i="4"/>
  <c r="C15" i="4"/>
  <c r="B15" i="4"/>
  <c r="D9" i="4" a="1"/>
  <c r="D9" i="4" s="1"/>
  <c r="E9" i="4" a="1"/>
  <c r="E9" i="4" s="1"/>
  <c r="F9" i="4" a="1"/>
  <c r="F9" i="4" s="1"/>
  <c r="G9" i="4" a="1"/>
  <c r="G9" i="4" s="1"/>
  <c r="H9" i="4" a="1"/>
  <c r="H9" i="4" s="1"/>
  <c r="I9" i="4" a="1"/>
  <c r="I9" i="4"/>
  <c r="J9" i="4" a="1"/>
  <c r="J9" i="4" s="1"/>
  <c r="K9" i="4" a="1"/>
  <c r="K9" i="4"/>
  <c r="D8" i="4"/>
  <c r="E8" i="4"/>
  <c r="F8" i="4"/>
  <c r="G8" i="4"/>
  <c r="H8" i="4"/>
  <c r="I8" i="4"/>
  <c r="J8" i="4"/>
  <c r="K8" i="4"/>
  <c r="C9" i="4" a="1"/>
  <c r="C9" i="4" s="1"/>
  <c r="C8" i="4"/>
  <c r="K7" i="4"/>
  <c r="J7" i="4"/>
  <c r="I7" i="4"/>
  <c r="H7" i="4"/>
  <c r="G7" i="4"/>
  <c r="F7" i="4"/>
  <c r="E7" i="4"/>
  <c r="D7" i="4"/>
  <c r="C7" i="4"/>
  <c r="B13" i="4"/>
  <c r="C13" i="4"/>
  <c r="D13" i="4"/>
  <c r="E13" i="4"/>
  <c r="F13" i="4"/>
  <c r="G13" i="4"/>
  <c r="H13" i="4"/>
  <c r="I13" i="4"/>
  <c r="J13" i="4"/>
  <c r="K13" i="4"/>
  <c r="B14" i="4"/>
  <c r="C14" i="4"/>
  <c r="D14" i="4"/>
  <c r="E14" i="4"/>
  <c r="F14" i="4"/>
  <c r="G14" i="4"/>
  <c r="H14" i="4"/>
  <c r="I14" i="4"/>
  <c r="J14" i="4"/>
  <c r="K14" i="4"/>
  <c r="C12" i="4"/>
  <c r="D12" i="4"/>
  <c r="E12" i="4"/>
  <c r="F12" i="4"/>
  <c r="G12" i="4"/>
  <c r="H12" i="4"/>
  <c r="I12" i="4"/>
  <c r="J12" i="4"/>
  <c r="K12" i="4"/>
  <c r="B12" i="4"/>
  <c r="C18" i="4"/>
  <c r="D18" i="4"/>
  <c r="E18" i="4"/>
  <c r="F18" i="4"/>
  <c r="G18" i="4"/>
  <c r="H18" i="4"/>
  <c r="I18" i="4"/>
  <c r="J18" i="4"/>
  <c r="K18" i="4"/>
  <c r="C19" i="4"/>
  <c r="D19" i="4"/>
  <c r="E19" i="4"/>
  <c r="F19" i="4"/>
  <c r="G19" i="4"/>
  <c r="H19" i="4"/>
  <c r="I19" i="4"/>
  <c r="J19" i="4"/>
  <c r="K19" i="4"/>
  <c r="C20" i="4"/>
  <c r="D20" i="4"/>
  <c r="E20" i="4"/>
  <c r="F20" i="4"/>
  <c r="G20" i="4"/>
  <c r="H20" i="4"/>
  <c r="I20" i="4"/>
  <c r="J20" i="4"/>
  <c r="K20" i="4"/>
  <c r="B19" i="4"/>
  <c r="B20" i="4"/>
  <c r="B18" i="4"/>
  <c r="C3" i="4"/>
  <c r="G3" i="4"/>
  <c r="K3" i="4"/>
  <c r="C4" i="4"/>
  <c r="G4" i="4"/>
  <c r="K4" i="4"/>
  <c r="F5" i="4"/>
  <c r="J5" i="4"/>
  <c r="D6" i="4"/>
  <c r="E6" i="4"/>
  <c r="H6" i="4"/>
  <c r="I6" i="4"/>
  <c r="B5" i="4"/>
  <c r="K45" i="3"/>
  <c r="J45" i="3"/>
  <c r="I45" i="3"/>
  <c r="H45" i="3"/>
  <c r="G45" i="3"/>
  <c r="F45" i="3"/>
  <c r="E45" i="3"/>
  <c r="D45" i="3"/>
  <c r="C45" i="3"/>
  <c r="K44" i="3"/>
  <c r="J44" i="3"/>
  <c r="I44" i="3"/>
  <c r="H44" i="3"/>
  <c r="G44" i="3"/>
  <c r="F44" i="3"/>
  <c r="E44" i="3"/>
  <c r="D44" i="3"/>
  <c r="C44" i="3"/>
  <c r="K43" i="3"/>
  <c r="J43" i="3"/>
  <c r="I43" i="3"/>
  <c r="H43" i="3"/>
  <c r="G43" i="3"/>
  <c r="F43" i="3"/>
  <c r="E43" i="3"/>
  <c r="D43" i="3"/>
  <c r="C43" i="3"/>
  <c r="B45" i="3"/>
  <c r="B44" i="3"/>
  <c r="B43" i="3"/>
  <c r="K41" i="3"/>
  <c r="J41" i="3"/>
  <c r="I41" i="3"/>
  <c r="H41" i="3"/>
  <c r="G41" i="3"/>
  <c r="F41" i="3"/>
  <c r="E41" i="3"/>
  <c r="D41" i="3"/>
  <c r="C41" i="3"/>
  <c r="K40" i="3"/>
  <c r="J40" i="3"/>
  <c r="I40" i="3"/>
  <c r="H40" i="3"/>
  <c r="G40" i="3"/>
  <c r="F40" i="3"/>
  <c r="E40" i="3"/>
  <c r="D40" i="3"/>
  <c r="C40" i="3"/>
  <c r="B41" i="3"/>
  <c r="B40" i="3"/>
  <c r="K39" i="3"/>
  <c r="J39" i="3"/>
  <c r="I39" i="3"/>
  <c r="H39" i="3"/>
  <c r="G39" i="3"/>
  <c r="F39" i="3"/>
  <c r="E39" i="3"/>
  <c r="D39" i="3"/>
  <c r="C39" i="3"/>
  <c r="B39" i="3"/>
  <c r="K29" i="1"/>
  <c r="K6" i="4" s="1"/>
  <c r="J29" i="1"/>
  <c r="J6" i="4" s="1"/>
  <c r="I29" i="1"/>
  <c r="H29" i="1"/>
  <c r="G29" i="1"/>
  <c r="G6" i="4" s="1"/>
  <c r="F29" i="1"/>
  <c r="F6" i="4" s="1"/>
  <c r="E29" i="1"/>
  <c r="D29" i="1"/>
  <c r="C29" i="1"/>
  <c r="C6" i="4" s="1"/>
  <c r="B29" i="1"/>
  <c r="B6" i="4" s="1"/>
  <c r="K28" i="1"/>
  <c r="K5" i="4" s="1"/>
  <c r="J28" i="1"/>
  <c r="I28" i="1"/>
  <c r="I5" i="4" s="1"/>
  <c r="H28" i="1"/>
  <c r="H5" i="4" s="1"/>
  <c r="G28" i="1"/>
  <c r="G5" i="4" s="1"/>
  <c r="F28" i="1"/>
  <c r="E28" i="1"/>
  <c r="E5" i="4" s="1"/>
  <c r="D28" i="1"/>
  <c r="D5" i="4" s="1"/>
  <c r="C28" i="1"/>
  <c r="C5" i="4" s="1"/>
  <c r="B28" i="1"/>
  <c r="K27" i="1"/>
  <c r="J27" i="1"/>
  <c r="J4" i="4" s="1"/>
  <c r="I27" i="1"/>
  <c r="I4" i="4" s="1"/>
  <c r="H27" i="1"/>
  <c r="H4" i="4" s="1"/>
  <c r="G27" i="1"/>
  <c r="F27" i="1"/>
  <c r="F4" i="4" s="1"/>
  <c r="E27" i="1"/>
  <c r="E4" i="4" s="1"/>
  <c r="D27" i="1"/>
  <c r="D4" i="4" s="1"/>
  <c r="C27" i="1"/>
  <c r="B27" i="1"/>
  <c r="B4" i="4" s="1"/>
  <c r="K26" i="1"/>
  <c r="J26" i="1"/>
  <c r="J3" i="4" s="1"/>
  <c r="I26" i="1"/>
  <c r="I3" i="4" s="1"/>
  <c r="H26" i="1"/>
  <c r="H3" i="4" s="1"/>
  <c r="G26" i="1"/>
  <c r="F26" i="1"/>
  <c r="F3" i="4" s="1"/>
  <c r="E26" i="1"/>
  <c r="E3" i="4" s="1"/>
  <c r="D26" i="1"/>
  <c r="D3" i="4" s="1"/>
  <c r="C26" i="1"/>
  <c r="B26" i="1"/>
  <c r="B3" i="4" s="1"/>
  <c r="E33" i="4" l="1"/>
  <c r="K33" i="4"/>
  <c r="G33" i="4"/>
  <c r="D33" i="4"/>
  <c r="J33" i="4"/>
  <c r="H33" i="4"/>
  <c r="I33" i="4"/>
  <c r="C3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tc={F2CB63CE-233C-4341-BB39-026023C9E305}</author>
  </authors>
  <commentList>
    <comment ref="J8" authorId="0" shapeId="0" xr:uid="{00000000-0006-0000-0300-00000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looks positive.. But it is not… 
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<sst xmlns="http://schemas.openxmlformats.org/spreadsheetml/2006/main" count="197" uniqueCount="100">
  <si>
    <t>FY 2014</t>
  </si>
  <si>
    <t>FY 2015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</si>
  <si>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</si>
  <si>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</si>
  <si>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</si>
  <si>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</si>
  <si>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</si>
  <si>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</si>
  <si>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</si>
  <si>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</si>
  <si>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'Total Revenue'</t>
  </si>
  <si>
    <t>'- Raw Materials'</t>
  </si>
  <si>
    <t>-</t>
  </si>
  <si>
    <t>'- Power &amp; Fuel Cost'</t>
  </si>
  <si>
    <t>'- Employee Cost'</t>
  </si>
  <si>
    <t>'- Selling &amp; Administrative Expenses'</t>
  </si>
  <si>
    <t>'- Operating &amp; Other expenses'</t>
  </si>
  <si>
    <t>'= EBITDA'</t>
  </si>
  <si>
    <t>'- Depreciation/Amortization'</t>
  </si>
  <si>
    <t>'= PBIT'</t>
  </si>
  <si>
    <t>'- Interest &amp; Other Items'</t>
  </si>
  <si>
    <t>'= PBT'</t>
  </si>
  <si>
    <t>'- Taxes &amp; Other Items'</t>
  </si>
  <si>
    <t>'= Net Income'</t>
  </si>
  <si>
    <t>'EPS'</t>
  </si>
  <si>
    <t>'DPS'</t>
  </si>
  <si>
    <t>'Payout ratio'</t>
  </si>
  <si>
    <t>'Cash from Operating Activities'</t>
  </si>
  <si>
    <t>'+ Cash from Investing Activities'</t>
  </si>
  <si>
    <t>'+ Cash from Financing Activities'</t>
  </si>
  <si>
    <t>'= Net Change in Cash'</t>
  </si>
  <si>
    <t>'Changes in Working Capital'</t>
  </si>
  <si>
    <t>'Capital Expenditures'</t>
  </si>
  <si>
    <t>'Free Cash Flow'</t>
  </si>
  <si>
    <t>'Cash and Short Term Investments'</t>
  </si>
  <si>
    <t>'+ Total Receivables'</t>
  </si>
  <si>
    <t>'+ Total Inventory'</t>
  </si>
  <si>
    <t>'+ Other Current Assets'</t>
  </si>
  <si>
    <t>'= Total Current Assets (A1)'</t>
  </si>
  <si>
    <t>'Loans &amp; Advances'</t>
  </si>
  <si>
    <t>'+ Net Property/Plant/Equipment'</t>
  </si>
  <si>
    <t>'+ Goodwill &amp; Intangibles'</t>
  </si>
  <si>
    <t>'+ Long Term Investments'</t>
  </si>
  <si>
    <t>'+ Deferred Tax Assets (Net)'</t>
  </si>
  <si>
    <t>'+ Other Assets'</t>
  </si>
  <si>
    <t>'= Non Current Assets (A2)'</t>
  </si>
  <si>
    <t>'Total Assets (A1 + A2)'</t>
  </si>
  <si>
    <t>'Accounts Payable'</t>
  </si>
  <si>
    <t>'+ Total Deposits'</t>
  </si>
  <si>
    <t>'+ Other Current Liabilities'</t>
  </si>
  <si>
    <t>'= Current Liabilities'</t>
  </si>
  <si>
    <t>'Total Long Term Debt'</t>
  </si>
  <si>
    <t>'+ Deferred Tax Liabilities (Net)'</t>
  </si>
  <si>
    <t>'+ Other Liabilities'</t>
  </si>
  <si>
    <t>'= Non Current Liabilities'</t>
  </si>
  <si>
    <t>'Total Liabilities'</t>
  </si>
  <si>
    <t>'Common Stock'</t>
  </si>
  <si>
    <t>'+ Additional Paid-in Capital'</t>
  </si>
  <si>
    <t>'+ Reserves &amp; Surplus'</t>
  </si>
  <si>
    <t>'+ Minority Interest'</t>
  </si>
  <si>
    <t>'+ Other Equity'</t>
  </si>
  <si>
    <t>'Total Equity'</t>
  </si>
  <si>
    <t>'Total Liabilities &amp; Shareholder's Equity'</t>
  </si>
  <si>
    <t>Tata Consultancy Services Ltd (TCS)</t>
  </si>
  <si>
    <t>Income Statement (All numbers in INR crores except EPS and DPS)</t>
  </si>
  <si>
    <t>Balance Sheet (All numbers in INR crores)</t>
  </si>
  <si>
    <t>Cash Flow Statement (All numbers in INR crores)</t>
  </si>
  <si>
    <t>Profitability Ratios</t>
  </si>
  <si>
    <t>EBITDA Margin</t>
  </si>
  <si>
    <t>EBIT Margin</t>
  </si>
  <si>
    <t>EBT Margin</t>
  </si>
  <si>
    <t>PAT Margin</t>
  </si>
  <si>
    <t>ROA</t>
  </si>
  <si>
    <t>ROE</t>
  </si>
  <si>
    <t>ROCE</t>
  </si>
  <si>
    <t>Liquidity Ratios</t>
  </si>
  <si>
    <t>Current Ratio</t>
  </si>
  <si>
    <t>Quick Ratio</t>
  </si>
  <si>
    <t>Cash Ratio</t>
  </si>
  <si>
    <t>Defensive Interval</t>
  </si>
  <si>
    <t>Solvency Ratios</t>
  </si>
  <si>
    <t>A/E</t>
  </si>
  <si>
    <t>D/E</t>
  </si>
  <si>
    <t>D/A</t>
  </si>
  <si>
    <t>Interest Coverage Ratio</t>
  </si>
  <si>
    <t>Activity Ratios</t>
  </si>
  <si>
    <t>Asset Turnover Ratio</t>
  </si>
  <si>
    <t>Receivables Turnover Ratio</t>
  </si>
  <si>
    <t>Inventory Turnover Ratio</t>
  </si>
  <si>
    <t>Payables Turnover Ratio</t>
  </si>
  <si>
    <t>Receivable Days (DSO)</t>
  </si>
  <si>
    <t>Inventory Days (DIH)</t>
  </si>
  <si>
    <t xml:space="preserve">Payable Days </t>
  </si>
  <si>
    <t>Operating Cycle</t>
  </si>
  <si>
    <t>Net Operating Cycle (CCC)</t>
  </si>
  <si>
    <t xml:space="preserve">EBITDA MARGIN </t>
  </si>
  <si>
    <t xml:space="preserve">EBIT MARGIN </t>
  </si>
  <si>
    <t xml:space="preserve">EBT MARGIN </t>
  </si>
  <si>
    <t xml:space="preserve">PAT MARGIN </t>
  </si>
  <si>
    <t>y-o-y growth in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</si>
</sst>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0.0%"/>
    <numFmt numFmtId="166" formatCode="_(* #,##0_);_(* \(#,##0\);_(* &quot;-&quot;??_);_(@_)"/>
    <numFmt numFmtId="167" formatCode="_(* #,##0.0_);_(* \(#,##0.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A6A6A6"/>
      <name val="Calibri"/>
      <family val="2"/>
      <scheme val="minor"/>
    </font>
    <font>
      <sz val="11"/>
      <color theme="4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" fillId="0" borderId="0" applyFont="0" applyFill="0" applyBorder="0" applyAlignment="0" applyProtection="0"/>
  </cellStyleXfs>
  <cellXfs count="15">
    <xf numFmtId="0" fontId="0" fillId="0" borderId="0" xfId="0"/>
    <xf numFmtId="0" fontId="13" fillId="33" borderId="0" xfId="0" applyFont="1" applyFill="1"/>
    <xf numFmtId="165" fontId="0" fillId="0" borderId="0" xfId="2" applyNumberFormat="1" applyFont="1"/>
    <xf numFmtId="164" fontId="0" fillId="0" borderId="0" xfId="0" applyNumberFormat="1"/>
    <xf numFmtId="166" fontId="0" fillId="0" borderId="0" xfId="1" applyNumberFormat="1" applyFont="1"/>
    <xf numFmtId="164" fontId="0" fillId="0" borderId="0" xfId="44" applyFont="1"/>
    <xf numFmtId="166" fontId="0" fillId="0" borderId="0" xfId="44" applyNumberFormat="1" applyFont="1"/>
    <xf numFmtId="167" fontId="0" fillId="0" borderId="0" xfId="1" applyNumberFormat="1" applyFont="1"/>
    <xf numFmtId="9" fontId="0" fillId="0" borderId="0" xfId="2" applyFont="1"/>
    <xf numFmtId="164" fontId="0" fillId="0" borderId="0" xfId="1" applyFont="1"/>
    <xf numFmtId="43" fontId="0" fillId="0" borderId="0" xfId="0" applyNumberFormat="1"/>
    <xf numFmtId="0" fontId="0" fillId="0" borderId="0" xfId="1" applyNumberFormat="1" applyFont="1"/>
    <xf numFmtId="0" fontId="18" fillId="0" borderId="0" xfId="0" applyFont="1"/>
    <xf numFmtId="0" fontId="19" fillId="0" borderId="0" xfId="0" applyFont="1"/>
    <xf numFmtId="9" fontId="19" fillId="0" borderId="0" xfId="2" applyFont="1"/>
  </cellXfs>
  <cellStyles count="45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omma 2" xfId="44" xr:uid="{00000000-0005-0000-0000-00001C000000}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 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190500</xdr:colOff>
      <xdr:row>3</xdr:row>
      <xdr:rowOff>61912</xdr:rowOff>
    </xdr:from>
    <xdr:to>
      <xdr:col>15</xdr:col>
      <xdr:colOff>171450</xdr:colOff>
      <xdr:row>5</xdr:row>
      <xdr:rowOff>180975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1A6BA5D-D48C-8C79-F640-84B16C8E5996}"/>
            </a:ext>
          </a:extLst>
        </xdr:cNvPr>
        <xdr:cNvSpPr txBox="1"/>
      </xdr:nvSpPr>
      <xdr:spPr>
        <a:xfrm>
          <a:off x="8591550" y="633412"/>
          <a:ext cx="1809750" cy="5000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Created By Jenil Nitin</a:t>
          </a:r>
          <a:r>
            <a:rPr lang="en-IN" sz="1200" baseline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 Gor</a:t>
          </a:r>
          <a:r>
            <a:rPr lang="en-IN" sz="1200" baseline="0">
              <a:solidFill>
                <a:schemeClr val="bg1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 </a:t>
          </a:r>
          <a:endParaRPr lang="en-IN" sz="1200">
            <a:solidFill>
              <a:schemeClr val="bg1">
                <a:lumMod val="65000"/>
              </a:schemeClr>
            </a:solidFill>
            <a:effectLst/>
          </a:endParaRPr>
        </a:p>
        <a:p>
          <a:endParaRPr lang="en-IN" sz="1100"/>
        </a:p>
      </xdr:txBody>
    </xdr:sp>
    <xdr:clientData/>
  </xdr:twoCellAnchor>
  <xdr:oneCellAnchor>
    <xdr:from>
      <xdr:col>13</xdr:col>
      <xdr:colOff>47625</xdr:colOff>
      <xdr:row>5</xdr:row>
      <xdr:rowOff>38100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87BA4CC-2C2F-06C3-1628-45B005A34D0E}"/>
            </a:ext>
          </a:extLst>
        </xdr:cNvPr>
        <xdr:cNvSpPr txBox="1"/>
      </xdr:nvSpPr>
      <xdr:spPr>
        <a:xfrm>
          <a:off x="9058275" y="99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uresh Varma" id="{9B9760B5-AF49-4983-B460-677AA7ED85C0}" userId="1be4d27955ad884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8" dT="2023-12-11T07:32:20.05" personId="{9B9760B5-AF49-4983-B460-677AA7ED85C0}" id="{F2CB63CE-233C-4341-BB39-026023C9E305}">
    <text xml:space="preserve">This looks positive.. But it is not… 
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31"/>
  <sheetViews>
    <sheetView tabSelected="1" topLeftCell="D1" workbookViewId="0">
      <selection activeCell="L2" sqref="L2:U2"/>
    </sheetView>
  </sheetViews>
  <sheetFormatPr defaultRowHeight="15" x14ac:dyDescent="0.25"/>
  <cols>
    <col min="1" max="1" width="57.5703125" bestFit="1" customWidth="1"/>
    <col min="2" max="3" width="10.140625" bestFit="1" customWidth="1"/>
    <col min="4" max="11" width="11.140625" bestFit="1" customWidth="1"/>
  </cols>
  <sheetData>
    <row r="2" spans="1:21" x14ac:dyDescent="0.25">
      <c r="A2" t="s">
        <v>63</v>
      </c>
      <c r="L2">
        <v>2014</v>
      </c>
      <c r="M2">
        <v>2015</v>
      </c>
      <c r="N2">
        <v>2016</v>
      </c>
      <c r="O2">
        <v>2017</v>
      </c>
      <c r="P2">
        <v>2018</v>
      </c>
      <c r="Q2">
        <v>2019</v>
      </c>
      <c r="R2">
        <v>2020</v>
      </c>
      <c r="S2">
        <v>2021</v>
      </c>
      <c r="T2">
        <v>2022</v>
      </c>
      <c r="U2">
        <v>2023</v>
      </c>
    </row>
    <row r="5" spans="1:21" x14ac:dyDescent="0.25">
      <c r="A5" s="1" t="s">
        <v>64</v>
      </c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</row>
    <row r="6" spans="1:21" x14ac:dyDescent="0.25">
      <c r="A6" t="s">
        <v>10</v>
      </c>
      <c r="B6" s="4">
        <v>83446.100000000006</v>
      </c>
      <c r="C6" s="4">
        <v>98368.07</v>
      </c>
      <c r="D6" s="4">
        <v>111730</v>
      </c>
      <c r="E6" s="4">
        <v>122187</v>
      </c>
      <c r="F6" s="4">
        <v>126746</v>
      </c>
      <c r="G6" s="4">
        <v>150774</v>
      </c>
      <c r="H6" s="4">
        <v>161541</v>
      </c>
      <c r="I6" s="4">
        <v>167311</v>
      </c>
      <c r="J6" s="4">
        <v>195772</v>
      </c>
      <c r="K6" s="4">
        <v>228907</v>
      </c>
    </row>
    <row r="7" spans="1:21" x14ac:dyDescent="0.25">
      <c r="A7" s="13" t="s">
        <v>99</v>
      </c>
      <c r="B7" s="4"/>
      <c r="C7" s="14">
        <f>C6/B6-1</f>
        <v>0.17882165853167487</v>
      </c>
      <c r="D7" s="14">
        <f t="shared" ref="D7:K7" si="0">D6/C6-1</f>
        <v>0.13583604923833503</v>
      </c>
      <c r="E7" s="14">
        <f t="shared" si="0"/>
        <v>9.3591694262955327E-2</v>
      </c>
      <c r="F7" s="14">
        <f t="shared" si="0"/>
        <v>3.7311661633397941E-2</v>
      </c>
      <c r="G7" s="14">
        <f t="shared" si="0"/>
        <v>0.18957600239849781</v>
      </c>
      <c r="H7" s="14">
        <f t="shared" si="0"/>
        <v>7.1411516574475753E-2</v>
      </c>
      <c r="I7" s="14">
        <f t="shared" si="0"/>
        <v>3.5718486328548238E-2</v>
      </c>
      <c r="J7" s="14">
        <f t="shared" si="0"/>
        <v>0.17010836107607985</v>
      </c>
      <c r="K7" s="14">
        <f t="shared" si="0"/>
        <v>0.16925300860184289</v>
      </c>
    </row>
    <row r="8" spans="1:21" x14ac:dyDescent="0.25">
      <c r="A8" t="s">
        <v>11</v>
      </c>
      <c r="B8" s="4">
        <v>0</v>
      </c>
      <c r="C8" s="4">
        <v>0</v>
      </c>
      <c r="D8" s="4">
        <v>0</v>
      </c>
      <c r="E8" s="4">
        <v>94</v>
      </c>
      <c r="F8" s="4">
        <v>86</v>
      </c>
      <c r="G8" s="4">
        <v>40</v>
      </c>
      <c r="H8" s="4">
        <v>18</v>
      </c>
      <c r="I8" s="4">
        <v>14</v>
      </c>
      <c r="J8" s="4">
        <v>29</v>
      </c>
      <c r="K8" s="4">
        <v>37</v>
      </c>
    </row>
    <row r="9" spans="1:21" x14ac:dyDescent="0.25">
      <c r="A9" t="s">
        <v>13</v>
      </c>
      <c r="B9" s="4">
        <v>527.1</v>
      </c>
      <c r="C9" s="4">
        <v>573.87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</row>
    <row r="10" spans="1:21" x14ac:dyDescent="0.25">
      <c r="A10" t="s">
        <v>14</v>
      </c>
      <c r="B10" s="4">
        <v>29860.01</v>
      </c>
      <c r="C10" s="4">
        <v>38701.15</v>
      </c>
      <c r="D10" s="4">
        <v>55348</v>
      </c>
      <c r="E10" s="4">
        <v>61621</v>
      </c>
      <c r="F10" s="4">
        <v>66396</v>
      </c>
      <c r="G10" s="4">
        <v>78246</v>
      </c>
      <c r="H10" s="4">
        <v>85952</v>
      </c>
      <c r="I10" s="4">
        <v>91814</v>
      </c>
      <c r="J10" s="4">
        <v>107554</v>
      </c>
      <c r="K10" s="4">
        <v>127522</v>
      </c>
    </row>
    <row r="11" spans="1:21" x14ac:dyDescent="0.25">
      <c r="A11" t="s">
        <v>15</v>
      </c>
      <c r="B11" s="4">
        <v>4278.5200000000004</v>
      </c>
      <c r="C11" s="4">
        <v>4842.25</v>
      </c>
      <c r="D11" s="4">
        <v>15589</v>
      </c>
      <c r="E11" s="4">
        <v>16392</v>
      </c>
      <c r="F11" s="4">
        <v>16808</v>
      </c>
      <c r="G11" s="4">
        <v>20387</v>
      </c>
      <c r="H11" s="4">
        <v>20527</v>
      </c>
      <c r="I11" s="4">
        <v>18322</v>
      </c>
      <c r="J11" s="4">
        <v>23187</v>
      </c>
      <c r="K11" s="4">
        <v>28913</v>
      </c>
    </row>
    <row r="12" spans="1:21" x14ac:dyDescent="0.25">
      <c r="A12" t="s">
        <v>16</v>
      </c>
      <c r="B12" s="4">
        <v>21990.94</v>
      </c>
      <c r="C12" s="4">
        <v>26049.43</v>
      </c>
      <c r="D12" s="4">
        <v>7032</v>
      </c>
      <c r="E12" s="4">
        <v>7548</v>
      </c>
      <c r="F12" s="4">
        <v>7298</v>
      </c>
      <c r="G12" s="4">
        <v>8284</v>
      </c>
      <c r="H12" s="4">
        <v>8343</v>
      </c>
      <c r="I12" s="4">
        <v>8699</v>
      </c>
      <c r="J12" s="4">
        <v>7927</v>
      </c>
      <c r="K12" s="4">
        <v>9727</v>
      </c>
    </row>
    <row r="13" spans="1:21" x14ac:dyDescent="0.25">
      <c r="A13" t="s">
        <v>17</v>
      </c>
      <c r="B13" s="4">
        <v>26789.53</v>
      </c>
      <c r="C13" s="4">
        <v>28201.37</v>
      </c>
      <c r="D13" s="4">
        <v>33761</v>
      </c>
      <c r="E13" s="4">
        <v>36532</v>
      </c>
      <c r="F13" s="4">
        <v>36158</v>
      </c>
      <c r="G13" s="4">
        <v>43817</v>
      </c>
      <c r="H13" s="4">
        <v>46701</v>
      </c>
      <c r="I13" s="4">
        <v>48462</v>
      </c>
      <c r="J13" s="4">
        <v>57075</v>
      </c>
      <c r="K13" s="4">
        <v>62708</v>
      </c>
    </row>
    <row r="14" spans="1:21" x14ac:dyDescent="0.25">
      <c r="A14" t="s">
        <v>18</v>
      </c>
      <c r="B14" s="4">
        <v>1349.15</v>
      </c>
      <c r="C14" s="4">
        <v>1798.69</v>
      </c>
      <c r="D14" s="4">
        <v>1888</v>
      </c>
      <c r="E14" s="4">
        <v>1987</v>
      </c>
      <c r="F14" s="4">
        <v>2014</v>
      </c>
      <c r="G14" s="4">
        <v>2056</v>
      </c>
      <c r="H14" s="4">
        <v>3529</v>
      </c>
      <c r="I14" s="4">
        <v>4065</v>
      </c>
      <c r="J14" s="4">
        <v>4604</v>
      </c>
      <c r="K14" s="4">
        <v>5022</v>
      </c>
    </row>
    <row r="15" spans="1:21" x14ac:dyDescent="0.25">
      <c r="A15" t="s">
        <v>19</v>
      </c>
      <c r="B15" s="4">
        <v>25440.38</v>
      </c>
      <c r="C15" s="4">
        <v>26402.68</v>
      </c>
      <c r="D15" s="4">
        <v>31873</v>
      </c>
      <c r="E15" s="4">
        <v>34545</v>
      </c>
      <c r="F15" s="4">
        <v>34144</v>
      </c>
      <c r="G15" s="4">
        <v>41761</v>
      </c>
      <c r="H15" s="4">
        <v>43172</v>
      </c>
      <c r="I15" s="4">
        <v>44397</v>
      </c>
      <c r="J15" s="4">
        <v>52471</v>
      </c>
      <c r="K15" s="4">
        <v>57686</v>
      </c>
    </row>
    <row r="16" spans="1:21" x14ac:dyDescent="0.25">
      <c r="A16" t="s">
        <v>20</v>
      </c>
      <c r="B16" s="4">
        <v>38.520000000000003</v>
      </c>
      <c r="C16" s="4">
        <v>104.19</v>
      </c>
      <c r="D16" s="4">
        <v>33</v>
      </c>
      <c r="E16" s="4">
        <v>32</v>
      </c>
      <c r="F16" s="4">
        <v>52</v>
      </c>
      <c r="G16" s="4">
        <v>198</v>
      </c>
      <c r="H16" s="4">
        <v>924</v>
      </c>
      <c r="I16" s="4">
        <v>637</v>
      </c>
      <c r="J16" s="4">
        <v>784</v>
      </c>
      <c r="K16" s="4">
        <v>779</v>
      </c>
    </row>
    <row r="17" spans="1:11" x14ac:dyDescent="0.25">
      <c r="A17" t="s">
        <v>21</v>
      </c>
      <c r="B17" s="4">
        <v>25401.86</v>
      </c>
      <c r="C17" s="4">
        <v>26298.49</v>
      </c>
      <c r="D17" s="4">
        <v>31840</v>
      </c>
      <c r="E17" s="4">
        <v>34513</v>
      </c>
      <c r="F17" s="4">
        <v>34092</v>
      </c>
      <c r="G17" s="4">
        <v>41563</v>
      </c>
      <c r="H17" s="4">
        <v>42248</v>
      </c>
      <c r="I17" s="4">
        <v>43760</v>
      </c>
      <c r="J17" s="4">
        <v>51687</v>
      </c>
      <c r="K17" s="4">
        <v>56907</v>
      </c>
    </row>
    <row r="18" spans="1:11" x14ac:dyDescent="0.25">
      <c r="A18" t="s">
        <v>22</v>
      </c>
      <c r="B18" s="4">
        <v>6237.99</v>
      </c>
      <c r="C18" s="4">
        <v>6446.31</v>
      </c>
      <c r="D18" s="4">
        <v>7570</v>
      </c>
      <c r="E18" s="4">
        <v>8224</v>
      </c>
      <c r="F18" s="4">
        <v>8266</v>
      </c>
      <c r="G18" s="4">
        <v>10091</v>
      </c>
      <c r="H18" s="4">
        <v>9908</v>
      </c>
      <c r="I18" s="4">
        <v>11330</v>
      </c>
      <c r="J18" s="4">
        <v>13360</v>
      </c>
      <c r="K18" s="4">
        <v>14760</v>
      </c>
    </row>
    <row r="19" spans="1:11" x14ac:dyDescent="0.25">
      <c r="A19" t="s">
        <v>23</v>
      </c>
      <c r="B19" s="4">
        <v>19163.87</v>
      </c>
      <c r="C19" s="4">
        <v>19852.18</v>
      </c>
      <c r="D19" s="4">
        <v>24270</v>
      </c>
      <c r="E19" s="4">
        <v>26289</v>
      </c>
      <c r="F19" s="4">
        <v>25826</v>
      </c>
      <c r="G19" s="4">
        <v>31472</v>
      </c>
      <c r="H19" s="4">
        <v>32340</v>
      </c>
      <c r="I19" s="4">
        <v>32430</v>
      </c>
      <c r="J19" s="4">
        <v>38327</v>
      </c>
      <c r="K19" s="4">
        <v>42147</v>
      </c>
    </row>
    <row r="20" spans="1:11" x14ac:dyDescent="0.25"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x14ac:dyDescent="0.25">
      <c r="A21" t="s">
        <v>24</v>
      </c>
      <c r="B21" s="4">
        <v>48.94</v>
      </c>
      <c r="C21" s="4">
        <v>50.68</v>
      </c>
      <c r="D21" s="4">
        <v>61.77</v>
      </c>
      <c r="E21" s="4">
        <v>66.709999999999994</v>
      </c>
      <c r="F21" s="4">
        <v>66.48</v>
      </c>
      <c r="G21" s="4">
        <v>83.03</v>
      </c>
      <c r="H21" s="4">
        <v>86.19</v>
      </c>
      <c r="I21" s="4">
        <v>87.04</v>
      </c>
      <c r="J21" s="4">
        <v>104.18</v>
      </c>
      <c r="K21" s="4">
        <v>115.19</v>
      </c>
    </row>
    <row r="22" spans="1:11" x14ac:dyDescent="0.25">
      <c r="A22" t="s">
        <v>25</v>
      </c>
      <c r="B22" s="4">
        <v>16</v>
      </c>
      <c r="C22" s="4">
        <v>39.5</v>
      </c>
      <c r="D22" s="4">
        <v>21.75</v>
      </c>
      <c r="E22" s="4">
        <v>23.5</v>
      </c>
      <c r="F22" s="4">
        <v>25</v>
      </c>
      <c r="G22" s="4">
        <v>30</v>
      </c>
      <c r="H22" s="4">
        <v>73</v>
      </c>
      <c r="I22" s="4">
        <v>38</v>
      </c>
      <c r="J22" s="4">
        <v>43</v>
      </c>
      <c r="K22" s="4">
        <v>115</v>
      </c>
    </row>
    <row r="23" spans="1:11" x14ac:dyDescent="0.25">
      <c r="A23" t="s">
        <v>26</v>
      </c>
      <c r="B23" s="4">
        <v>0.33</v>
      </c>
      <c r="C23" s="4">
        <v>0.78</v>
      </c>
      <c r="D23" s="4">
        <v>0.35</v>
      </c>
      <c r="E23" s="4">
        <v>0.35</v>
      </c>
      <c r="F23" s="4">
        <v>0.38</v>
      </c>
      <c r="G23" s="4">
        <v>0.36</v>
      </c>
      <c r="H23" s="4">
        <v>0.85</v>
      </c>
      <c r="I23" s="4">
        <v>0.44</v>
      </c>
      <c r="J23" s="4">
        <v>0.41</v>
      </c>
      <c r="K23" s="4">
        <v>1</v>
      </c>
    </row>
    <row r="26" spans="1:11" x14ac:dyDescent="0.25">
      <c r="A26" t="s">
        <v>95</v>
      </c>
      <c r="B26" s="8">
        <f>B13/B6</f>
        <v>0.3210399287683906</v>
      </c>
      <c r="C26" s="8">
        <f t="shared" ref="C26:K26" si="1">C13/C6</f>
        <v>0.28669231794422717</v>
      </c>
      <c r="D26" s="8">
        <f t="shared" si="1"/>
        <v>0.30216593573793965</v>
      </c>
      <c r="E26" s="8">
        <f t="shared" si="1"/>
        <v>0.29898434366994853</v>
      </c>
      <c r="F26" s="8">
        <f t="shared" si="1"/>
        <v>0.28527921985703691</v>
      </c>
      <c r="G26" s="8">
        <f t="shared" si="1"/>
        <v>0.2906137662992293</v>
      </c>
      <c r="H26" s="8">
        <f t="shared" si="1"/>
        <v>0.28909688562036884</v>
      </c>
      <c r="I26" s="8">
        <f t="shared" si="1"/>
        <v>0.28965220457710489</v>
      </c>
      <c r="J26" s="8">
        <f t="shared" si="1"/>
        <v>0.29153811576732119</v>
      </c>
      <c r="K26" s="8">
        <f t="shared" si="1"/>
        <v>0.27394531403583117</v>
      </c>
    </row>
    <row r="27" spans="1:11" x14ac:dyDescent="0.25">
      <c r="A27" t="s">
        <v>96</v>
      </c>
      <c r="B27" s="8">
        <f>B15/B6</f>
        <v>0.30487200719985713</v>
      </c>
      <c r="C27" s="8">
        <f t="shared" ref="C27:K27" si="2">C15/C6</f>
        <v>0.26840701459325161</v>
      </c>
      <c r="D27" s="8">
        <f t="shared" si="2"/>
        <v>0.28526805692293922</v>
      </c>
      <c r="E27" s="8">
        <f t="shared" si="2"/>
        <v>0.28272238454172705</v>
      </c>
      <c r="F27" s="8">
        <f t="shared" si="2"/>
        <v>0.26938917204487717</v>
      </c>
      <c r="G27" s="8">
        <f t="shared" si="2"/>
        <v>0.2769774629578044</v>
      </c>
      <c r="H27" s="8">
        <f t="shared" si="2"/>
        <v>0.26725103843606268</v>
      </c>
      <c r="I27" s="8">
        <f t="shared" si="2"/>
        <v>0.26535613318909096</v>
      </c>
      <c r="J27" s="8">
        <f t="shared" si="2"/>
        <v>0.26802096316122836</v>
      </c>
      <c r="K27" s="8">
        <f t="shared" si="2"/>
        <v>0.25200627329002606</v>
      </c>
    </row>
    <row r="28" spans="1:11" x14ac:dyDescent="0.25">
      <c r="A28" t="s">
        <v>97</v>
      </c>
      <c r="B28" s="8">
        <f>B17/B6</f>
        <v>0.30441039185773811</v>
      </c>
      <c r="C28" s="8">
        <f t="shared" ref="C28:K28" si="3">C17/C6</f>
        <v>0.26734782943286373</v>
      </c>
      <c r="D28" s="8">
        <f t="shared" si="3"/>
        <v>0.2849727020495838</v>
      </c>
      <c r="E28" s="8">
        <f t="shared" si="3"/>
        <v>0.28246049088691921</v>
      </c>
      <c r="F28" s="8">
        <f t="shared" si="3"/>
        <v>0.26897890268726427</v>
      </c>
      <c r="G28" s="8">
        <f t="shared" si="3"/>
        <v>0.27566423919243371</v>
      </c>
      <c r="H28" s="8">
        <f t="shared" si="3"/>
        <v>0.26153112832036451</v>
      </c>
      <c r="I28" s="8">
        <f t="shared" si="3"/>
        <v>0.2615488521376359</v>
      </c>
      <c r="J28" s="8">
        <f t="shared" si="3"/>
        <v>0.26401630468095538</v>
      </c>
      <c r="K28" s="8">
        <f t="shared" si="3"/>
        <v>0.24860314450846852</v>
      </c>
    </row>
    <row r="29" spans="1:11" x14ac:dyDescent="0.25">
      <c r="A29" t="s">
        <v>98</v>
      </c>
      <c r="B29" s="8">
        <f>B19/B6</f>
        <v>0.22965566994742712</v>
      </c>
      <c r="C29" s="8">
        <f t="shared" ref="C29:K29" si="4">C19/C6</f>
        <v>0.20181528416690497</v>
      </c>
      <c r="D29" s="8">
        <f t="shared" si="4"/>
        <v>0.21722008413138816</v>
      </c>
      <c r="E29" s="8">
        <f t="shared" si="4"/>
        <v>0.21515382160131602</v>
      </c>
      <c r="F29" s="8">
        <f t="shared" si="4"/>
        <v>0.20376185441749642</v>
      </c>
      <c r="G29" s="8">
        <f t="shared" si="4"/>
        <v>0.20873625426134479</v>
      </c>
      <c r="H29" s="8">
        <f t="shared" si="4"/>
        <v>0.20019685404943638</v>
      </c>
      <c r="I29" s="8">
        <f t="shared" si="4"/>
        <v>0.19383065070437688</v>
      </c>
      <c r="J29" s="8">
        <f t="shared" si="4"/>
        <v>0.19577365506814048</v>
      </c>
      <c r="K29" s="8">
        <f t="shared" si="4"/>
        <v>0.18412280970000919</v>
      </c>
    </row>
    <row r="31" spans="1:11" x14ac:dyDescent="0.25">
      <c r="D31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45"/>
  <sheetViews>
    <sheetView topLeftCell="A7" workbookViewId="0">
      <selection activeCell="B45" sqref="B45"/>
    </sheetView>
  </sheetViews>
  <sheetFormatPr defaultRowHeight="15" x14ac:dyDescent="0.25"/>
  <cols>
    <col min="1" max="1" width="48" bestFit="1" customWidth="1"/>
    <col min="2" max="4" width="10.140625" bestFit="1" customWidth="1"/>
    <col min="5" max="11" width="11.140625" bestFit="1" customWidth="1"/>
  </cols>
  <sheetData>
    <row r="2" spans="1:11" x14ac:dyDescent="0.25">
      <c r="A2" t="s">
        <v>63</v>
      </c>
    </row>
    <row r="5" spans="1:11" x14ac:dyDescent="0.25">
      <c r="A5" s="1" t="s">
        <v>65</v>
      </c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</row>
    <row r="6" spans="1:11" x14ac:dyDescent="0.25">
      <c r="A6" t="s">
        <v>34</v>
      </c>
      <c r="B6" s="4">
        <v>15600.31</v>
      </c>
      <c r="C6" s="4">
        <v>20048.64</v>
      </c>
      <c r="D6" s="4">
        <v>29267</v>
      </c>
      <c r="E6" s="4">
        <v>45785</v>
      </c>
      <c r="F6" s="4">
        <v>42868</v>
      </c>
      <c r="G6" s="4">
        <v>41939</v>
      </c>
      <c r="H6" s="4">
        <v>35806</v>
      </c>
      <c r="I6" s="4">
        <v>38489</v>
      </c>
      <c r="J6" s="4">
        <v>48483</v>
      </c>
      <c r="K6" s="4">
        <v>47929</v>
      </c>
    </row>
    <row r="7" spans="1:11" x14ac:dyDescent="0.25">
      <c r="A7" t="s">
        <v>35</v>
      </c>
      <c r="B7" s="4">
        <v>18230.400000000001</v>
      </c>
      <c r="C7" s="4">
        <v>20437.939999999999</v>
      </c>
      <c r="D7" s="4">
        <v>24073</v>
      </c>
      <c r="E7" s="4">
        <v>22617</v>
      </c>
      <c r="F7" s="4">
        <v>24943</v>
      </c>
      <c r="G7" s="4">
        <v>27346</v>
      </c>
      <c r="H7" s="4">
        <v>30532</v>
      </c>
      <c r="I7" s="4">
        <v>30079</v>
      </c>
      <c r="J7" s="4">
        <v>41810</v>
      </c>
      <c r="K7" s="4">
        <v>49954</v>
      </c>
    </row>
    <row r="8" spans="1:11" x14ac:dyDescent="0.25">
      <c r="A8" t="s">
        <v>36</v>
      </c>
      <c r="B8" s="4">
        <v>15.21</v>
      </c>
      <c r="C8" s="4">
        <v>16.07</v>
      </c>
      <c r="D8" s="4">
        <v>16</v>
      </c>
      <c r="E8" s="4">
        <v>21</v>
      </c>
      <c r="F8" s="4">
        <v>26</v>
      </c>
      <c r="G8" s="4">
        <v>10</v>
      </c>
      <c r="H8" s="4">
        <v>5</v>
      </c>
      <c r="I8" s="4">
        <v>8</v>
      </c>
      <c r="J8" s="4">
        <v>20</v>
      </c>
      <c r="K8" s="4">
        <v>28</v>
      </c>
    </row>
    <row r="9" spans="1:11" x14ac:dyDescent="0.25">
      <c r="A9" t="s">
        <v>37</v>
      </c>
      <c r="B9" s="4">
        <v>9051.77</v>
      </c>
      <c r="C9" s="4">
        <v>8310.35</v>
      </c>
      <c r="D9" s="4">
        <v>9857</v>
      </c>
      <c r="E9" s="4">
        <v>11893</v>
      </c>
      <c r="F9" s="4">
        <v>13387</v>
      </c>
      <c r="G9" s="4">
        <v>22836</v>
      </c>
      <c r="H9" s="4">
        <v>23894</v>
      </c>
      <c r="I9" s="4">
        <v>30704</v>
      </c>
      <c r="J9" s="4">
        <v>17997</v>
      </c>
      <c r="K9" s="4">
        <v>12359</v>
      </c>
    </row>
    <row r="10" spans="1:11" x14ac:dyDescent="0.25">
      <c r="A10" t="s">
        <v>38</v>
      </c>
      <c r="B10" s="4">
        <v>42897.69</v>
      </c>
      <c r="C10" s="4">
        <v>48813</v>
      </c>
      <c r="D10" s="4">
        <v>63213</v>
      </c>
      <c r="E10" s="4">
        <v>80316</v>
      </c>
      <c r="F10" s="4">
        <v>81224</v>
      </c>
      <c r="G10" s="4">
        <v>92131</v>
      </c>
      <c r="H10" s="4">
        <v>90237</v>
      </c>
      <c r="I10" s="4">
        <v>99280</v>
      </c>
      <c r="J10" s="4">
        <v>108310</v>
      </c>
      <c r="K10" s="4">
        <v>110270</v>
      </c>
    </row>
    <row r="11" spans="1:11" x14ac:dyDescent="0.25">
      <c r="A11" t="s">
        <v>39</v>
      </c>
      <c r="B11" s="4" t="s">
        <v>12</v>
      </c>
      <c r="C11" s="4" t="s">
        <v>12</v>
      </c>
      <c r="D11" s="4" t="s">
        <v>12</v>
      </c>
      <c r="E11" s="4" t="s">
        <v>12</v>
      </c>
      <c r="F11" s="4" t="s">
        <v>12</v>
      </c>
      <c r="G11" s="4" t="s">
        <v>12</v>
      </c>
      <c r="H11" s="4" t="s">
        <v>12</v>
      </c>
      <c r="I11" s="4" t="s">
        <v>12</v>
      </c>
      <c r="J11" s="4" t="s">
        <v>12</v>
      </c>
      <c r="K11" s="4" t="s">
        <v>12</v>
      </c>
    </row>
    <row r="12" spans="1:11" x14ac:dyDescent="0.25">
      <c r="A12" t="s">
        <v>40</v>
      </c>
      <c r="B12" s="4">
        <v>10250.58</v>
      </c>
      <c r="C12" s="4">
        <v>12142.49</v>
      </c>
      <c r="D12" s="4">
        <v>11649</v>
      </c>
      <c r="E12" s="4">
        <v>11598</v>
      </c>
      <c r="F12" s="4">
        <v>11494</v>
      </c>
      <c r="G12" s="4">
        <v>11399</v>
      </c>
      <c r="H12" s="4">
        <v>19856</v>
      </c>
      <c r="I12" s="4">
        <v>19674</v>
      </c>
      <c r="J12" s="4">
        <v>19615</v>
      </c>
      <c r="K12" s="4">
        <v>19024</v>
      </c>
    </row>
    <row r="13" spans="1:11" x14ac:dyDescent="0.25">
      <c r="A13" t="s">
        <v>41</v>
      </c>
      <c r="B13" s="4">
        <v>2462.23</v>
      </c>
      <c r="C13" s="4">
        <v>2262.0500000000002</v>
      </c>
      <c r="D13" s="4">
        <v>1795</v>
      </c>
      <c r="E13" s="4">
        <v>1644</v>
      </c>
      <c r="F13" s="4">
        <v>1757</v>
      </c>
      <c r="G13" s="4">
        <v>1854</v>
      </c>
      <c r="H13" s="4">
        <v>1978</v>
      </c>
      <c r="I13" s="4">
        <v>2273</v>
      </c>
      <c r="J13" s="4">
        <v>2888</v>
      </c>
      <c r="K13" s="4">
        <v>2725</v>
      </c>
    </row>
    <row r="14" spans="1:11" x14ac:dyDescent="0.25">
      <c r="A14" t="s">
        <v>42</v>
      </c>
      <c r="B14" s="4">
        <v>2275.27</v>
      </c>
      <c r="C14" s="4">
        <v>169.18</v>
      </c>
      <c r="D14" s="4">
        <v>343</v>
      </c>
      <c r="E14" s="4">
        <v>344</v>
      </c>
      <c r="F14" s="4">
        <v>301</v>
      </c>
      <c r="G14" s="4">
        <v>239</v>
      </c>
      <c r="H14" s="4">
        <v>216</v>
      </c>
      <c r="I14" s="4">
        <v>213</v>
      </c>
      <c r="J14" s="4">
        <v>223</v>
      </c>
      <c r="K14" s="4">
        <v>266</v>
      </c>
    </row>
    <row r="15" spans="1:11" x14ac:dyDescent="0.25">
      <c r="A15" t="s">
        <v>43</v>
      </c>
      <c r="B15" s="4">
        <v>111.26</v>
      </c>
      <c r="C15" s="4">
        <v>250.98</v>
      </c>
      <c r="D15" s="4">
        <v>2103</v>
      </c>
      <c r="E15" s="4">
        <v>1909</v>
      </c>
      <c r="F15" s="4">
        <v>2279</v>
      </c>
      <c r="G15" s="4">
        <v>1614</v>
      </c>
      <c r="H15" s="4">
        <v>2049</v>
      </c>
      <c r="I15" s="4">
        <v>3164</v>
      </c>
      <c r="J15" s="4">
        <v>3118</v>
      </c>
      <c r="K15" s="4">
        <v>2515</v>
      </c>
    </row>
    <row r="16" spans="1:11" x14ac:dyDescent="0.25">
      <c r="A16" t="s">
        <v>44</v>
      </c>
      <c r="B16" s="4">
        <v>8831.9500000000007</v>
      </c>
      <c r="C16" s="4">
        <v>9680.2199999999993</v>
      </c>
      <c r="D16" s="4">
        <v>9188</v>
      </c>
      <c r="E16" s="4">
        <v>6522</v>
      </c>
      <c r="F16" s="4">
        <v>8071</v>
      </c>
      <c r="G16" s="4">
        <v>6664</v>
      </c>
      <c r="H16" s="4">
        <v>5784</v>
      </c>
      <c r="I16" s="4">
        <v>5388</v>
      </c>
      <c r="J16" s="4">
        <v>6770</v>
      </c>
      <c r="K16" s="4">
        <v>8059</v>
      </c>
    </row>
    <row r="17" spans="1:11" x14ac:dyDescent="0.25">
      <c r="A17" t="s">
        <v>45</v>
      </c>
      <c r="B17" s="4">
        <v>23931.29</v>
      </c>
      <c r="C17" s="4">
        <v>24504.92</v>
      </c>
      <c r="D17" s="4">
        <v>25078</v>
      </c>
      <c r="E17" s="4">
        <v>22017</v>
      </c>
      <c r="F17" s="4">
        <v>23902</v>
      </c>
      <c r="G17" s="4">
        <v>21770</v>
      </c>
      <c r="H17" s="4">
        <v>29883</v>
      </c>
      <c r="I17" s="4">
        <v>30712</v>
      </c>
      <c r="J17" s="4">
        <v>32614</v>
      </c>
      <c r="K17" s="4">
        <v>32589</v>
      </c>
    </row>
    <row r="18" spans="1:11" x14ac:dyDescent="0.25">
      <c r="A18" t="s">
        <v>46</v>
      </c>
      <c r="B18" s="4">
        <v>66828.98</v>
      </c>
      <c r="C18" s="4">
        <v>73317.919999999998</v>
      </c>
      <c r="D18" s="4">
        <v>88291</v>
      </c>
      <c r="E18" s="4">
        <v>102333</v>
      </c>
      <c r="F18" s="4">
        <v>105126</v>
      </c>
      <c r="G18" s="4">
        <v>113901</v>
      </c>
      <c r="H18" s="4">
        <v>120120</v>
      </c>
      <c r="I18" s="4">
        <v>129992</v>
      </c>
      <c r="J18" s="4">
        <v>140924</v>
      </c>
      <c r="K18" s="4">
        <v>142859</v>
      </c>
    </row>
    <row r="19" spans="1:11" x14ac:dyDescent="0.25">
      <c r="A19" t="s">
        <v>47</v>
      </c>
      <c r="B19" s="4">
        <v>6023.55</v>
      </c>
      <c r="C19" s="4">
        <v>9168.34</v>
      </c>
      <c r="D19" s="4">
        <v>7872</v>
      </c>
      <c r="E19" s="4">
        <v>5192</v>
      </c>
      <c r="F19" s="4">
        <v>5356</v>
      </c>
      <c r="G19" s="4">
        <v>6595</v>
      </c>
      <c r="H19" s="4">
        <v>7242</v>
      </c>
      <c r="I19" s="4">
        <v>8259</v>
      </c>
      <c r="J19" s="4">
        <v>8816</v>
      </c>
      <c r="K19" s="4">
        <v>11246</v>
      </c>
    </row>
    <row r="20" spans="1:11" x14ac:dyDescent="0.25">
      <c r="A20" t="s">
        <v>48</v>
      </c>
      <c r="B20" s="4" t="s">
        <v>12</v>
      </c>
      <c r="C20" s="4" t="s">
        <v>12</v>
      </c>
      <c r="D20" s="4" t="s">
        <v>12</v>
      </c>
      <c r="E20" s="4" t="s">
        <v>12</v>
      </c>
      <c r="F20" s="4" t="s">
        <v>12</v>
      </c>
      <c r="G20" s="4" t="s">
        <v>12</v>
      </c>
      <c r="H20" s="4" t="s">
        <v>12</v>
      </c>
      <c r="I20" s="4" t="s">
        <v>12</v>
      </c>
      <c r="J20" s="4" t="s">
        <v>12</v>
      </c>
      <c r="K20" s="4" t="s">
        <v>12</v>
      </c>
    </row>
    <row r="21" spans="1:11" x14ac:dyDescent="0.25">
      <c r="A21" t="s">
        <v>49</v>
      </c>
      <c r="B21" s="4">
        <v>9646.76</v>
      </c>
      <c r="C21" s="4">
        <v>11149.9</v>
      </c>
      <c r="D21" s="4">
        <v>7697</v>
      </c>
      <c r="E21" s="4">
        <v>9320</v>
      </c>
      <c r="F21" s="4">
        <v>12472</v>
      </c>
      <c r="G21" s="4">
        <v>15489</v>
      </c>
      <c r="H21" s="4">
        <v>19818</v>
      </c>
      <c r="I21" s="4">
        <v>25896</v>
      </c>
      <c r="J21" s="4">
        <v>33535</v>
      </c>
      <c r="K21" s="4">
        <v>32312</v>
      </c>
    </row>
    <row r="22" spans="1:11" x14ac:dyDescent="0.25">
      <c r="A22" t="s">
        <v>50</v>
      </c>
      <c r="B22" s="4">
        <v>15670.31</v>
      </c>
      <c r="C22" s="4">
        <v>20318.240000000002</v>
      </c>
      <c r="D22" s="4">
        <v>15569</v>
      </c>
      <c r="E22" s="4">
        <v>14512</v>
      </c>
      <c r="F22" s="4">
        <v>17828</v>
      </c>
      <c r="G22" s="4">
        <v>22084</v>
      </c>
      <c r="H22" s="4">
        <v>27060</v>
      </c>
      <c r="I22" s="4">
        <v>34155</v>
      </c>
      <c r="J22" s="4">
        <v>42351</v>
      </c>
      <c r="K22" s="4">
        <v>43558</v>
      </c>
    </row>
    <row r="23" spans="1:11" x14ac:dyDescent="0.25">
      <c r="A23" t="s">
        <v>51</v>
      </c>
      <c r="B23" s="4">
        <v>127.26</v>
      </c>
      <c r="C23" s="4">
        <v>114.27</v>
      </c>
      <c r="D23" s="4">
        <v>83</v>
      </c>
      <c r="E23" s="4">
        <v>71</v>
      </c>
      <c r="F23" s="4">
        <v>54</v>
      </c>
      <c r="G23" s="4">
        <v>44</v>
      </c>
      <c r="H23" s="4">
        <v>6906</v>
      </c>
      <c r="I23" s="4">
        <v>6503</v>
      </c>
      <c r="J23" s="4">
        <v>6368</v>
      </c>
      <c r="K23" s="4">
        <v>6203</v>
      </c>
    </row>
    <row r="24" spans="1:11" x14ac:dyDescent="0.25">
      <c r="A24" t="s">
        <v>52</v>
      </c>
      <c r="B24" s="4" t="s">
        <v>12</v>
      </c>
      <c r="C24" s="4" t="s">
        <v>12</v>
      </c>
      <c r="D24" s="4" t="s">
        <v>12</v>
      </c>
      <c r="E24" s="4" t="s">
        <v>12</v>
      </c>
      <c r="F24" s="4" t="s">
        <v>12</v>
      </c>
      <c r="G24" s="4" t="s">
        <v>12</v>
      </c>
      <c r="H24" s="4" t="s">
        <v>12</v>
      </c>
      <c r="I24" s="4" t="s">
        <v>12</v>
      </c>
      <c r="J24" s="4" t="s">
        <v>12</v>
      </c>
      <c r="K24" s="4" t="s">
        <v>12</v>
      </c>
    </row>
    <row r="25" spans="1:11" x14ac:dyDescent="0.25">
      <c r="A25" t="s">
        <v>53</v>
      </c>
      <c r="B25" s="4">
        <v>1128.6600000000001</v>
      </c>
      <c r="C25" s="4">
        <v>1122.8900000000001</v>
      </c>
      <c r="D25" s="4">
        <v>1212</v>
      </c>
      <c r="E25" s="4">
        <v>1170</v>
      </c>
      <c r="F25" s="4">
        <v>1714</v>
      </c>
      <c r="G25" s="4">
        <v>1874</v>
      </c>
      <c r="H25" s="4">
        <v>1405</v>
      </c>
      <c r="I25" s="4">
        <v>2226</v>
      </c>
      <c r="J25" s="4">
        <v>2359</v>
      </c>
      <c r="K25" s="4">
        <v>1892</v>
      </c>
    </row>
    <row r="26" spans="1:11" x14ac:dyDescent="0.25">
      <c r="A26" t="s">
        <v>54</v>
      </c>
      <c r="B26" s="4">
        <v>1255.92</v>
      </c>
      <c r="C26" s="4">
        <v>1237.1600000000001</v>
      </c>
      <c r="D26" s="4">
        <v>1295</v>
      </c>
      <c r="E26" s="4">
        <v>1241</v>
      </c>
      <c r="F26" s="4">
        <v>1768</v>
      </c>
      <c r="G26" s="4">
        <v>1918</v>
      </c>
      <c r="H26" s="4">
        <v>8311</v>
      </c>
      <c r="I26" s="4">
        <v>8729</v>
      </c>
      <c r="J26" s="4">
        <v>8727</v>
      </c>
      <c r="K26" s="4">
        <v>8095</v>
      </c>
    </row>
    <row r="27" spans="1:11" x14ac:dyDescent="0.25">
      <c r="A27" t="s">
        <v>55</v>
      </c>
      <c r="B27" s="4">
        <v>16926.23</v>
      </c>
      <c r="C27" s="4">
        <v>21555.4</v>
      </c>
      <c r="D27" s="4">
        <v>16864</v>
      </c>
      <c r="E27" s="4">
        <v>15753</v>
      </c>
      <c r="F27" s="4">
        <v>19596</v>
      </c>
      <c r="G27" s="4">
        <v>24002</v>
      </c>
      <c r="H27" s="4">
        <v>35371</v>
      </c>
      <c r="I27" s="4">
        <v>42884</v>
      </c>
      <c r="J27" s="4">
        <v>51078</v>
      </c>
      <c r="K27" s="4">
        <v>51653</v>
      </c>
    </row>
    <row r="28" spans="1:11" x14ac:dyDescent="0.25">
      <c r="A28" t="s">
        <v>56</v>
      </c>
      <c r="B28" s="4">
        <v>195.87</v>
      </c>
      <c r="C28" s="4">
        <v>195.87</v>
      </c>
      <c r="D28" s="4">
        <v>197</v>
      </c>
      <c r="E28" s="4">
        <v>197</v>
      </c>
      <c r="F28" s="4">
        <v>191</v>
      </c>
      <c r="G28" s="4">
        <v>375</v>
      </c>
      <c r="H28" s="4">
        <v>375</v>
      </c>
      <c r="I28" s="4">
        <v>370</v>
      </c>
      <c r="J28" s="4">
        <v>366</v>
      </c>
      <c r="K28" s="4">
        <v>366</v>
      </c>
    </row>
    <row r="29" spans="1:11" x14ac:dyDescent="0.25">
      <c r="A29" t="s">
        <v>57</v>
      </c>
      <c r="B29" s="4">
        <v>1918.87</v>
      </c>
      <c r="C29" s="4">
        <v>1918.87</v>
      </c>
      <c r="D29" s="4">
        <v>1919</v>
      </c>
      <c r="E29" s="4">
        <v>1919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</row>
    <row r="30" spans="1:11" x14ac:dyDescent="0.25">
      <c r="A30" t="s">
        <v>58</v>
      </c>
      <c r="B30" s="4">
        <v>47080.02</v>
      </c>
      <c r="C30" s="4">
        <v>48520.02</v>
      </c>
      <c r="D30" s="4">
        <v>68956</v>
      </c>
      <c r="E30" s="4">
        <v>84098</v>
      </c>
      <c r="F30" s="4">
        <v>84937</v>
      </c>
      <c r="G30" s="4">
        <v>89071</v>
      </c>
      <c r="H30" s="4">
        <v>83751</v>
      </c>
      <c r="I30" s="4">
        <v>86063</v>
      </c>
      <c r="J30" s="4">
        <v>88773</v>
      </c>
      <c r="K30" s="4">
        <v>90058</v>
      </c>
    </row>
    <row r="31" spans="1:11" x14ac:dyDescent="0.25">
      <c r="A31" t="s">
        <v>59</v>
      </c>
      <c r="B31" s="4">
        <v>707.99</v>
      </c>
      <c r="C31" s="4">
        <v>1127.76</v>
      </c>
      <c r="D31" s="4">
        <v>355</v>
      </c>
      <c r="E31" s="4">
        <v>366</v>
      </c>
      <c r="F31" s="4">
        <v>402</v>
      </c>
      <c r="G31" s="4">
        <v>453</v>
      </c>
      <c r="H31" s="4">
        <v>623</v>
      </c>
      <c r="I31" s="4">
        <v>675</v>
      </c>
      <c r="J31" s="4">
        <v>707</v>
      </c>
      <c r="K31" s="4">
        <v>782</v>
      </c>
    </row>
    <row r="32" spans="1:11" x14ac:dyDescent="0.25">
      <c r="A32" t="s">
        <v>60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</row>
    <row r="33" spans="1:11" x14ac:dyDescent="0.25">
      <c r="A33" t="s">
        <v>61</v>
      </c>
      <c r="B33" s="4">
        <v>49902.75</v>
      </c>
      <c r="C33" s="4">
        <v>51762.52</v>
      </c>
      <c r="D33" s="4">
        <v>71427</v>
      </c>
      <c r="E33" s="4">
        <v>86580</v>
      </c>
      <c r="F33" s="4">
        <v>85530</v>
      </c>
      <c r="G33" s="4">
        <v>89899</v>
      </c>
      <c r="H33" s="4">
        <v>84749</v>
      </c>
      <c r="I33" s="4">
        <v>87108</v>
      </c>
      <c r="J33" s="4">
        <v>89846</v>
      </c>
      <c r="K33" s="4">
        <v>91206</v>
      </c>
    </row>
    <row r="34" spans="1:11" x14ac:dyDescent="0.25">
      <c r="A34" t="s">
        <v>62</v>
      </c>
      <c r="B34" s="4">
        <v>66828.98</v>
      </c>
      <c r="C34" s="4">
        <v>73317.919999999998</v>
      </c>
      <c r="D34" s="4">
        <v>88291</v>
      </c>
      <c r="E34" s="4">
        <v>102333</v>
      </c>
      <c r="F34" s="4">
        <v>105126</v>
      </c>
      <c r="G34" s="4">
        <v>113901</v>
      </c>
      <c r="H34" s="4">
        <v>120120</v>
      </c>
      <c r="I34" s="4">
        <v>129992</v>
      </c>
      <c r="J34" s="4">
        <v>140924</v>
      </c>
      <c r="K34" s="4">
        <v>142859</v>
      </c>
    </row>
    <row r="39" spans="1:11" x14ac:dyDescent="0.25">
      <c r="A39" t="s">
        <v>76</v>
      </c>
      <c r="B39" s="9">
        <f>B10/B22</f>
        <v>2.7375138079591279</v>
      </c>
      <c r="C39" s="9">
        <f t="shared" ref="C39:K39" si="0">C10/C22</f>
        <v>2.402422650780776</v>
      </c>
      <c r="D39" s="9">
        <f t="shared" si="0"/>
        <v>4.0601836983749759</v>
      </c>
      <c r="E39" s="9">
        <f t="shared" si="0"/>
        <v>5.534454244762955</v>
      </c>
      <c r="F39" s="9">
        <f t="shared" si="0"/>
        <v>4.5559793583127668</v>
      </c>
      <c r="G39" s="9">
        <f t="shared" si="0"/>
        <v>4.171843868864336</v>
      </c>
      <c r="H39" s="9">
        <f t="shared" si="0"/>
        <v>3.3347006651884699</v>
      </c>
      <c r="I39" s="9">
        <f t="shared" si="0"/>
        <v>2.9067486458790808</v>
      </c>
      <c r="J39" s="9">
        <f t="shared" si="0"/>
        <v>2.5574366602913745</v>
      </c>
      <c r="K39" s="9">
        <f t="shared" si="0"/>
        <v>2.5315671059277287</v>
      </c>
    </row>
    <row r="40" spans="1:11" x14ac:dyDescent="0.25">
      <c r="A40" t="s">
        <v>77</v>
      </c>
      <c r="B40" s="10">
        <f>(B6+B7)/B22</f>
        <v>2.1589049610377842</v>
      </c>
      <c r="C40" s="10">
        <f t="shared" ref="C40:K40" si="1">(C6+C7)/C22</f>
        <v>1.9926223924906881</v>
      </c>
      <c r="D40" s="10">
        <f t="shared" si="1"/>
        <v>3.4260389235018307</v>
      </c>
      <c r="E40" s="10">
        <f t="shared" si="1"/>
        <v>4.7134785005512683</v>
      </c>
      <c r="F40" s="10">
        <f t="shared" si="1"/>
        <v>3.803623513574153</v>
      </c>
      <c r="G40" s="10">
        <f t="shared" si="1"/>
        <v>3.1373392501358448</v>
      </c>
      <c r="H40" s="10">
        <f t="shared" si="1"/>
        <v>2.4515151515151516</v>
      </c>
      <c r="I40" s="10">
        <f t="shared" si="1"/>
        <v>2.0075537988581469</v>
      </c>
      <c r="J40" s="10">
        <f t="shared" si="1"/>
        <v>2.1320157729451488</v>
      </c>
      <c r="K40" s="10">
        <f t="shared" si="1"/>
        <v>2.2471876578355294</v>
      </c>
    </row>
    <row r="41" spans="1:11" x14ac:dyDescent="0.25">
      <c r="A41" t="s">
        <v>78</v>
      </c>
      <c r="B41" s="9">
        <f>B6/B22</f>
        <v>0.99553295371948614</v>
      </c>
      <c r="C41" s="9">
        <f t="shared" ref="C41:K41" si="2">C6/C22</f>
        <v>0.98673113419272529</v>
      </c>
      <c r="D41" s="9">
        <f t="shared" si="2"/>
        <v>1.8798252938531697</v>
      </c>
      <c r="E41" s="9">
        <f t="shared" si="2"/>
        <v>3.1549751929437706</v>
      </c>
      <c r="F41" s="9">
        <f t="shared" si="2"/>
        <v>2.404532196544761</v>
      </c>
      <c r="G41" s="9">
        <f t="shared" si="2"/>
        <v>1.899067197971382</v>
      </c>
      <c r="H41" s="9">
        <f t="shared" si="2"/>
        <v>1.3232076866223208</v>
      </c>
      <c r="I41" s="9">
        <f t="shared" si="2"/>
        <v>1.1268921095008051</v>
      </c>
      <c r="J41" s="9">
        <f t="shared" si="2"/>
        <v>1.1447899695402706</v>
      </c>
      <c r="K41" s="9">
        <f t="shared" si="2"/>
        <v>1.1003489600073466</v>
      </c>
    </row>
    <row r="42" spans="1:11" x14ac:dyDescent="0.25">
      <c r="B42" s="9"/>
    </row>
    <row r="43" spans="1:11" x14ac:dyDescent="0.25">
      <c r="A43" t="s">
        <v>81</v>
      </c>
      <c r="B43" s="9">
        <f>B18/B33</f>
        <v>1.3391843134897374</v>
      </c>
      <c r="C43" s="9">
        <f t="shared" ref="C43:K43" si="3">C18/C33</f>
        <v>1.4164287210128101</v>
      </c>
      <c r="D43" s="9">
        <f t="shared" si="3"/>
        <v>1.236101194226273</v>
      </c>
      <c r="E43" s="9">
        <f t="shared" si="3"/>
        <v>1.1819473319473319</v>
      </c>
      <c r="F43" s="9">
        <f t="shared" si="3"/>
        <v>1.2291125920729569</v>
      </c>
      <c r="G43" s="9">
        <f t="shared" si="3"/>
        <v>1.2669885093271338</v>
      </c>
      <c r="H43" s="9">
        <f t="shared" si="3"/>
        <v>1.4173618567770712</v>
      </c>
      <c r="I43" s="9">
        <f t="shared" si="3"/>
        <v>1.4923083987693437</v>
      </c>
      <c r="J43" s="9">
        <f t="shared" si="3"/>
        <v>1.5685061104556686</v>
      </c>
      <c r="K43" s="9">
        <f t="shared" si="3"/>
        <v>1.5663333552617151</v>
      </c>
    </row>
    <row r="44" spans="1:11" x14ac:dyDescent="0.25">
      <c r="A44" t="s">
        <v>82</v>
      </c>
      <c r="B44" s="9">
        <f>B27/B33</f>
        <v>0.33918431348973754</v>
      </c>
      <c r="C44" s="9">
        <f t="shared" ref="C44:K44" si="4">C27/C33</f>
        <v>0.41642872101281009</v>
      </c>
      <c r="D44" s="9">
        <f t="shared" si="4"/>
        <v>0.23610119422627299</v>
      </c>
      <c r="E44" s="9">
        <f t="shared" si="4"/>
        <v>0.18194733194733195</v>
      </c>
      <c r="F44" s="9">
        <f t="shared" si="4"/>
        <v>0.22911259207295687</v>
      </c>
      <c r="G44" s="9">
        <f t="shared" si="4"/>
        <v>0.26698850932713381</v>
      </c>
      <c r="H44" s="9">
        <f t="shared" si="4"/>
        <v>0.41736185677707111</v>
      </c>
      <c r="I44" s="9">
        <f t="shared" si="4"/>
        <v>0.49230839876934379</v>
      </c>
      <c r="J44" s="9">
        <f t="shared" si="4"/>
        <v>0.56850611045566857</v>
      </c>
      <c r="K44" s="9">
        <f t="shared" si="4"/>
        <v>0.56633335526171524</v>
      </c>
    </row>
    <row r="45" spans="1:11" x14ac:dyDescent="0.25">
      <c r="A45" s="5" t="s">
        <v>83</v>
      </c>
      <c r="B45" s="9">
        <f>B27/B18</f>
        <v>0.25327679698238698</v>
      </c>
      <c r="C45" s="9">
        <f t="shared" ref="C45:K45" si="5">C27/C18</f>
        <v>0.29399906598550535</v>
      </c>
      <c r="D45" s="9">
        <f t="shared" si="5"/>
        <v>0.19100474567056666</v>
      </c>
      <c r="E45" s="9">
        <f t="shared" si="5"/>
        <v>0.15393861217788982</v>
      </c>
      <c r="F45" s="9">
        <f t="shared" si="5"/>
        <v>0.18640488556589235</v>
      </c>
      <c r="G45" s="9">
        <f t="shared" si="5"/>
        <v>0.21072685929008525</v>
      </c>
      <c r="H45" s="9">
        <f t="shared" si="5"/>
        <v>0.29446386946386949</v>
      </c>
      <c r="I45" s="9">
        <f t="shared" si="5"/>
        <v>0.32989722444458119</v>
      </c>
      <c r="J45" s="9">
        <f t="shared" si="5"/>
        <v>0.36245068263744995</v>
      </c>
      <c r="K45" s="9">
        <f t="shared" si="5"/>
        <v>0.36156629963810472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12"/>
  <sheetViews>
    <sheetView workbookViewId="0">
      <selection activeCell="I15" sqref="I15"/>
    </sheetView>
  </sheetViews>
  <sheetFormatPr defaultRowHeight="15" x14ac:dyDescent="0.25"/>
  <cols>
    <col min="1" max="1" width="42.28515625" bestFit="1" customWidth="1"/>
    <col min="2" max="11" width="10.7109375" bestFit="1" customWidth="1"/>
  </cols>
  <sheetData>
    <row r="2" spans="1:11" x14ac:dyDescent="0.25">
      <c r="A2" t="s">
        <v>63</v>
      </c>
    </row>
    <row r="5" spans="1:11" x14ac:dyDescent="0.25">
      <c r="A5" s="1" t="s">
        <v>66</v>
      </c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</row>
    <row r="6" spans="1:11" x14ac:dyDescent="0.25">
      <c r="A6" t="s">
        <v>27</v>
      </c>
      <c r="B6" s="4">
        <v>14751.41</v>
      </c>
      <c r="C6" s="4">
        <v>19368.78</v>
      </c>
      <c r="D6" s="4">
        <v>19109</v>
      </c>
      <c r="E6" s="4">
        <v>25223</v>
      </c>
      <c r="F6" s="4">
        <v>25067</v>
      </c>
      <c r="G6" s="4">
        <v>28593</v>
      </c>
      <c r="H6" s="4">
        <v>32369</v>
      </c>
      <c r="I6" s="4">
        <v>38802</v>
      </c>
      <c r="J6" s="4">
        <v>39949</v>
      </c>
      <c r="K6" s="4">
        <v>41965</v>
      </c>
    </row>
    <row r="7" spans="1:11" x14ac:dyDescent="0.25">
      <c r="A7" t="s">
        <v>28</v>
      </c>
      <c r="B7" s="4">
        <v>-9451.67</v>
      </c>
      <c r="C7" s="4">
        <v>-1807.14</v>
      </c>
      <c r="D7" s="4">
        <v>-5010</v>
      </c>
      <c r="E7" s="4">
        <v>-16895</v>
      </c>
      <c r="F7" s="4">
        <v>3104</v>
      </c>
      <c r="G7" s="4">
        <v>1645</v>
      </c>
      <c r="H7" s="4">
        <v>8968</v>
      </c>
      <c r="I7" s="4">
        <v>-7956</v>
      </c>
      <c r="J7" s="4">
        <v>-738</v>
      </c>
      <c r="K7" s="4">
        <v>548</v>
      </c>
    </row>
    <row r="8" spans="1:11" x14ac:dyDescent="0.25">
      <c r="A8" t="s">
        <v>29</v>
      </c>
      <c r="B8" s="4">
        <v>-5673.24</v>
      </c>
      <c r="C8" s="4">
        <v>-17167.61</v>
      </c>
      <c r="D8" s="4">
        <v>-9666</v>
      </c>
      <c r="E8" s="4">
        <v>-11026</v>
      </c>
      <c r="F8" s="4">
        <v>-26885</v>
      </c>
      <c r="G8" s="4">
        <v>-27897</v>
      </c>
      <c r="H8" s="4">
        <v>-39915</v>
      </c>
      <c r="I8" s="4">
        <v>-32634</v>
      </c>
      <c r="J8" s="4">
        <v>-33581</v>
      </c>
      <c r="K8" s="4">
        <v>-47878</v>
      </c>
    </row>
    <row r="9" spans="1:11" x14ac:dyDescent="0.25">
      <c r="A9" t="s">
        <v>30</v>
      </c>
      <c r="B9" s="4">
        <v>-373.5</v>
      </c>
      <c r="C9" s="4">
        <v>394.03</v>
      </c>
      <c r="D9" s="4">
        <v>4433</v>
      </c>
      <c r="E9" s="4">
        <v>-2698</v>
      </c>
      <c r="F9" s="4">
        <v>1286</v>
      </c>
      <c r="G9" s="4">
        <v>2341</v>
      </c>
      <c r="H9" s="4">
        <v>1422</v>
      </c>
      <c r="I9" s="4">
        <v>-1788</v>
      </c>
      <c r="J9" s="4">
        <v>5630</v>
      </c>
      <c r="K9" s="4">
        <v>-5365</v>
      </c>
    </row>
    <row r="10" spans="1:11" x14ac:dyDescent="0.25">
      <c r="A10" t="s">
        <v>31</v>
      </c>
      <c r="B10" s="4">
        <v>-10494.42</v>
      </c>
      <c r="C10" s="4">
        <v>-6734.54</v>
      </c>
      <c r="D10" s="4">
        <v>-12522</v>
      </c>
      <c r="E10" s="4">
        <v>-8577</v>
      </c>
      <c r="F10" s="4">
        <v>-7818</v>
      </c>
      <c r="G10" s="4">
        <v>-12127</v>
      </c>
      <c r="H10" s="4">
        <v>-10513</v>
      </c>
      <c r="I10" s="4">
        <v>-8229</v>
      </c>
      <c r="J10" s="4">
        <v>-14255</v>
      </c>
      <c r="K10" s="4">
        <v>-17183</v>
      </c>
    </row>
    <row r="11" spans="1:11" x14ac:dyDescent="0.25">
      <c r="A11" t="s">
        <v>32</v>
      </c>
      <c r="B11" s="4">
        <v>3126.15</v>
      </c>
      <c r="C11" s="4">
        <v>2949.2</v>
      </c>
      <c r="D11" s="4">
        <v>1987</v>
      </c>
      <c r="E11" s="4">
        <v>1989</v>
      </c>
      <c r="F11" s="4">
        <v>1862</v>
      </c>
      <c r="G11" s="4">
        <v>2231</v>
      </c>
      <c r="H11" s="4">
        <v>2730</v>
      </c>
      <c r="I11" s="4">
        <v>3176</v>
      </c>
      <c r="J11" s="4">
        <v>2995</v>
      </c>
      <c r="K11" s="4">
        <v>3100</v>
      </c>
    </row>
    <row r="12" spans="1:11" x14ac:dyDescent="0.25">
      <c r="A12" t="s">
        <v>33</v>
      </c>
      <c r="B12" s="4">
        <v>11625.26</v>
      </c>
      <c r="C12" s="4">
        <v>16419.580000000002</v>
      </c>
      <c r="D12" s="4">
        <v>17122</v>
      </c>
      <c r="E12" s="4">
        <v>23234</v>
      </c>
      <c r="F12" s="4">
        <v>23205</v>
      </c>
      <c r="G12" s="4">
        <v>26362</v>
      </c>
      <c r="H12" s="4">
        <v>29639</v>
      </c>
      <c r="I12" s="4">
        <v>35626</v>
      </c>
      <c r="J12" s="4">
        <v>36954</v>
      </c>
      <c r="K12" s="4">
        <v>38865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N33"/>
  <sheetViews>
    <sheetView workbookViewId="0">
      <selection activeCell="R1" sqref="R1"/>
    </sheetView>
  </sheetViews>
  <sheetFormatPr defaultRowHeight="15" x14ac:dyDescent="0.25"/>
  <cols>
    <col min="1" max="1" width="25.5703125" customWidth="1"/>
    <col min="3" max="4" width="9.5703125" bestFit="1" customWidth="1"/>
    <col min="5" max="11" width="9" bestFit="1" customWidth="1"/>
  </cols>
  <sheetData>
    <row r="2" spans="1:14" x14ac:dyDescent="0.25">
      <c r="A2" s="1" t="s">
        <v>67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 spans="1:14" x14ac:dyDescent="0.25">
      <c r="A3" t="s">
        <v>68</v>
      </c>
      <c r="B3" s="8">
        <f>IS!B26</f>
        <v>0.3210399287683906</v>
      </c>
      <c r="C3" s="8">
        <f>IS!C26</f>
        <v>0.28669231794422717</v>
      </c>
      <c r="D3" s="8">
        <f>IS!D26</f>
        <v>0.30216593573793965</v>
      </c>
      <c r="E3" s="8">
        <f>IS!E26</f>
        <v>0.29898434366994853</v>
      </c>
      <c r="F3" s="8">
        <f>IS!F26</f>
        <v>0.28527921985703691</v>
      </c>
      <c r="G3" s="8">
        <f>IS!G26</f>
        <v>0.2906137662992293</v>
      </c>
      <c r="H3" s="8">
        <f>IS!H26</f>
        <v>0.28909688562036884</v>
      </c>
      <c r="I3" s="8">
        <f>IS!I26</f>
        <v>0.28965220457710489</v>
      </c>
      <c r="J3" s="8">
        <f>IS!J26</f>
        <v>0.29153811576732119</v>
      </c>
      <c r="K3" s="8">
        <f>IS!K26</f>
        <v>0.27394531403583117</v>
      </c>
    </row>
    <row r="4" spans="1:14" x14ac:dyDescent="0.25">
      <c r="A4" t="s">
        <v>69</v>
      </c>
      <c r="B4" s="8">
        <f>IS!B27</f>
        <v>0.30487200719985713</v>
      </c>
      <c r="C4" s="8">
        <f>IS!C27</f>
        <v>0.26840701459325161</v>
      </c>
      <c r="D4" s="8">
        <f>IS!D27</f>
        <v>0.28526805692293922</v>
      </c>
      <c r="E4" s="8">
        <f>IS!E27</f>
        <v>0.28272238454172705</v>
      </c>
      <c r="F4" s="8">
        <f>IS!F27</f>
        <v>0.26938917204487717</v>
      </c>
      <c r="G4" s="8">
        <f>IS!G27</f>
        <v>0.2769774629578044</v>
      </c>
      <c r="H4" s="8">
        <f>IS!H27</f>
        <v>0.26725103843606268</v>
      </c>
      <c r="I4" s="8">
        <f>IS!I27</f>
        <v>0.26535613318909096</v>
      </c>
      <c r="J4" s="8">
        <f>IS!J27</f>
        <v>0.26802096316122836</v>
      </c>
      <c r="K4" s="8">
        <f>IS!K27</f>
        <v>0.25200627329002606</v>
      </c>
    </row>
    <row r="5" spans="1:14" x14ac:dyDescent="0.25">
      <c r="A5" t="s">
        <v>70</v>
      </c>
      <c r="B5" s="8">
        <f>IS!B28</f>
        <v>0.30441039185773811</v>
      </c>
      <c r="C5" s="8">
        <f>IS!C28</f>
        <v>0.26734782943286373</v>
      </c>
      <c r="D5" s="8">
        <f>IS!D28</f>
        <v>0.2849727020495838</v>
      </c>
      <c r="E5" s="8">
        <f>IS!E28</f>
        <v>0.28246049088691921</v>
      </c>
      <c r="F5" s="8">
        <f>IS!F28</f>
        <v>0.26897890268726427</v>
      </c>
      <c r="G5" s="8">
        <f>IS!G28</f>
        <v>0.27566423919243371</v>
      </c>
      <c r="H5" s="8">
        <f>IS!H28</f>
        <v>0.26153112832036451</v>
      </c>
      <c r="I5" s="8">
        <f>IS!I28</f>
        <v>0.2615488521376359</v>
      </c>
      <c r="J5" s="8">
        <f>IS!J28</f>
        <v>0.26401630468095538</v>
      </c>
      <c r="K5" s="8">
        <f>IS!K28</f>
        <v>0.24860314450846852</v>
      </c>
      <c r="N5" s="12"/>
    </row>
    <row r="6" spans="1:14" x14ac:dyDescent="0.25">
      <c r="A6" t="s">
        <v>71</v>
      </c>
      <c r="B6" s="8">
        <f>IS!B29</f>
        <v>0.22965566994742712</v>
      </c>
      <c r="C6" s="8">
        <f>IS!C29</f>
        <v>0.20181528416690497</v>
      </c>
      <c r="D6" s="8">
        <f>IS!D29</f>
        <v>0.21722008413138816</v>
      </c>
      <c r="E6" s="8">
        <f>IS!E29</f>
        <v>0.21515382160131602</v>
      </c>
      <c r="F6" s="8">
        <f>IS!F29</f>
        <v>0.20376185441749642</v>
      </c>
      <c r="G6" s="8">
        <f>IS!G29</f>
        <v>0.20873625426134479</v>
      </c>
      <c r="H6" s="8">
        <f>IS!H29</f>
        <v>0.20019685404943638</v>
      </c>
      <c r="I6" s="8">
        <f>IS!I29</f>
        <v>0.19383065070437688</v>
      </c>
      <c r="J6" s="8">
        <f>IS!J29</f>
        <v>0.19577365506814048</v>
      </c>
      <c r="K6" s="8">
        <f>IS!K29</f>
        <v>0.18412280970000919</v>
      </c>
    </row>
    <row r="7" spans="1:14" x14ac:dyDescent="0.25">
      <c r="A7" t="s">
        <v>72</v>
      </c>
      <c r="B7" s="2"/>
      <c r="C7" s="2">
        <f>IS!C19/AVERAGE(BS!B18:C18)</f>
        <v>0.28330530322112013</v>
      </c>
      <c r="D7" s="2">
        <f>IS!D19/AVERAGE(BS!C18:D18)</f>
        <v>0.30035470814358517</v>
      </c>
      <c r="E7" s="2">
        <f>IS!E19/AVERAGE(BS!D18:E18)</f>
        <v>0.27582046332046334</v>
      </c>
      <c r="F7" s="2">
        <f>IS!F19/AVERAGE(BS!E18:F18)</f>
        <v>0.2489744961655074</v>
      </c>
      <c r="G7" s="2">
        <f>IS!G19/AVERAGE(BS!F18:G18)</f>
        <v>0.28738009469152204</v>
      </c>
      <c r="H7" s="2">
        <f>IS!H19/AVERAGE(BS!G18:H18)</f>
        <v>0.27638545258758829</v>
      </c>
      <c r="I7" s="2">
        <f>IS!I19/AVERAGE(BS!H18:I18)</f>
        <v>0.25932382292732858</v>
      </c>
      <c r="J7" s="2">
        <f>IS!J19/AVERAGE(BS!I18:J18)</f>
        <v>0.28294379069527087</v>
      </c>
      <c r="K7" s="2">
        <f>IS!K19/AVERAGE(BS!J18:K18)</f>
        <v>0.2970368203874087</v>
      </c>
    </row>
    <row r="8" spans="1:14" x14ac:dyDescent="0.25">
      <c r="A8" t="s">
        <v>73</v>
      </c>
      <c r="C8" s="2">
        <f>IS!C19/AVERAGE(BS!B33:C33)</f>
        <v>0.39054005364860589</v>
      </c>
      <c r="D8" s="2">
        <f>IS!D19/AVERAGE(BS!C33:D33)</f>
        <v>0.39402702437674897</v>
      </c>
      <c r="E8" s="2">
        <f>IS!E19/AVERAGE(BS!D33:E33)</f>
        <v>0.33275740948185839</v>
      </c>
      <c r="F8" s="2">
        <f>IS!F19/AVERAGE(BS!E33:F33)</f>
        <v>0.30011039451513566</v>
      </c>
      <c r="G8" s="2">
        <f>IS!G19/AVERAGE(BS!F33:G33)</f>
        <v>0.35880042638332316</v>
      </c>
      <c r="H8" s="2">
        <f>IS!H19/AVERAGE(BS!G33:H33)</f>
        <v>0.37034492235811461</v>
      </c>
      <c r="I8" s="2">
        <f>IS!I19/AVERAGE(BS!H33:I33)</f>
        <v>0.37740679751188488</v>
      </c>
      <c r="J8" s="2">
        <f>IS!J19/AVERAGE(BS!I33:J33)</f>
        <v>0.43318602574680426</v>
      </c>
      <c r="K8" s="2">
        <f>IS!K19/AVERAGE(BS!J33:K33)</f>
        <v>0.46557894969401054</v>
      </c>
    </row>
    <row r="9" spans="1:14" x14ac:dyDescent="0.25">
      <c r="A9" t="s">
        <v>74</v>
      </c>
      <c r="C9" s="2" cm="1">
        <f t="array" ref="C9">IS!C15/AVERAGE(BS!B33:C33+AVERAGE(BS!B23:C23))</f>
        <v>0.51817307579082073</v>
      </c>
      <c r="D9" s="2" cm="1">
        <f t="array" ref="D9">IS!D15/AVERAGE(BS!C33:D33+AVERAGE(BS!C23:D23))</f>
        <v>0.51663553286376929</v>
      </c>
      <c r="E9" s="2" cm="1">
        <f t="array" ref="E9">IS!E15/AVERAGE(BS!D33:E33+AVERAGE(BS!D23:E23))</f>
        <v>0.43683335335512546</v>
      </c>
      <c r="F9" s="2" cm="1">
        <f t="array" ref="F9">IS!F15/AVERAGE(BS!E33:F33+AVERAGE(BS!E23:F23))</f>
        <v>0.39648155136876939</v>
      </c>
      <c r="G9" s="2" cm="1">
        <f t="array" ref="G9">IS!G15/AVERAGE(BS!F33:G33+AVERAGE(BS!F23:G23))</f>
        <v>0.47583562642784299</v>
      </c>
      <c r="H9" s="2" cm="1">
        <f t="array" ref="H9">IS!H15/AVERAGE(BS!G33:H33+AVERAGE(BS!G23:H23))</f>
        <v>0.47546779149550106</v>
      </c>
      <c r="I9" s="2" cm="1">
        <f t="array" ref="I9">IS!I15/AVERAGE(BS!H33:I33+AVERAGE(BS!H23:I23))</f>
        <v>0.47927844288752386</v>
      </c>
      <c r="J9" s="2" cm="1">
        <f t="array" ref="J9">IS!J15/AVERAGE(BS!I33:J33+AVERAGE(BS!I23:J23))</f>
        <v>0.55283550638746215</v>
      </c>
      <c r="K9" s="2" cm="1">
        <f t="array" ref="K9">IS!K15/AVERAGE(BS!J33:K33+AVERAGE(BS!J23:K23))</f>
        <v>0.59585896303641617</v>
      </c>
    </row>
    <row r="10" spans="1:14" x14ac:dyDescent="0.25">
      <c r="C10" s="2"/>
      <c r="D10" s="2"/>
      <c r="E10" s="2"/>
      <c r="F10" s="2"/>
      <c r="G10" s="2"/>
      <c r="H10" s="2"/>
      <c r="I10" s="2"/>
      <c r="J10" s="2"/>
      <c r="K10" s="2"/>
    </row>
    <row r="11" spans="1:14" x14ac:dyDescent="0.25">
      <c r="A11" s="1" t="s">
        <v>75</v>
      </c>
      <c r="B11" s="1" t="s">
        <v>0</v>
      </c>
      <c r="C11" s="1" t="s">
        <v>1</v>
      </c>
      <c r="D11" s="1" t="s">
        <v>2</v>
      </c>
      <c r="E11" s="1" t="s">
        <v>3</v>
      </c>
      <c r="F11" s="1" t="s">
        <v>4</v>
      </c>
      <c r="G11" s="1" t="s">
        <v>5</v>
      </c>
      <c r="H11" s="1" t="s">
        <v>6</v>
      </c>
      <c r="I11" s="1" t="s">
        <v>7</v>
      </c>
      <c r="J11" s="1" t="s">
        <v>8</v>
      </c>
      <c r="K11" s="1" t="s">
        <v>9</v>
      </c>
    </row>
    <row r="12" spans="1:14" x14ac:dyDescent="0.25">
      <c r="A12" t="s">
        <v>76</v>
      </c>
      <c r="B12" s="3">
        <f>BS!B39</f>
        <v>2.7375138079591279</v>
      </c>
      <c r="C12" s="3">
        <f>BS!C39</f>
        <v>2.402422650780776</v>
      </c>
      <c r="D12" s="3">
        <f>BS!D39</f>
        <v>4.0601836983749759</v>
      </c>
      <c r="E12" s="3">
        <f>BS!E39</f>
        <v>5.534454244762955</v>
      </c>
      <c r="F12" s="3">
        <f>BS!F39</f>
        <v>4.5559793583127668</v>
      </c>
      <c r="G12" s="3">
        <f>BS!G39</f>
        <v>4.171843868864336</v>
      </c>
      <c r="H12" s="3">
        <f>BS!H39</f>
        <v>3.3347006651884699</v>
      </c>
      <c r="I12" s="3">
        <f>BS!I39</f>
        <v>2.9067486458790808</v>
      </c>
      <c r="J12" s="3">
        <f>BS!J39</f>
        <v>2.5574366602913745</v>
      </c>
      <c r="K12" s="3">
        <f>BS!K39</f>
        <v>2.5315671059277287</v>
      </c>
    </row>
    <row r="13" spans="1:14" x14ac:dyDescent="0.25">
      <c r="A13" t="s">
        <v>77</v>
      </c>
      <c r="B13" s="3">
        <f>BS!B40</f>
        <v>2.1589049610377842</v>
      </c>
      <c r="C13" s="3">
        <f>BS!C40</f>
        <v>1.9926223924906881</v>
      </c>
      <c r="D13" s="3">
        <f>BS!D40</f>
        <v>3.4260389235018307</v>
      </c>
      <c r="E13" s="3">
        <f>BS!E40</f>
        <v>4.7134785005512683</v>
      </c>
      <c r="F13" s="3">
        <f>BS!F40</f>
        <v>3.803623513574153</v>
      </c>
      <c r="G13" s="3">
        <f>BS!G40</f>
        <v>3.1373392501358448</v>
      </c>
      <c r="H13" s="3">
        <f>BS!H40</f>
        <v>2.4515151515151516</v>
      </c>
      <c r="I13" s="3">
        <f>BS!I40</f>
        <v>2.0075537988581469</v>
      </c>
      <c r="J13" s="3">
        <f>BS!J40</f>
        <v>2.1320157729451488</v>
      </c>
      <c r="K13" s="3">
        <f>BS!K40</f>
        <v>2.2471876578355294</v>
      </c>
    </row>
    <row r="14" spans="1:14" x14ac:dyDescent="0.25">
      <c r="A14" t="s">
        <v>78</v>
      </c>
      <c r="B14" s="3">
        <f>BS!B41</f>
        <v>0.99553295371948614</v>
      </c>
      <c r="C14" s="3">
        <f>BS!C41</f>
        <v>0.98673113419272529</v>
      </c>
      <c r="D14" s="3">
        <f>BS!D41</f>
        <v>1.8798252938531697</v>
      </c>
      <c r="E14" s="3">
        <f>BS!E41</f>
        <v>3.1549751929437706</v>
      </c>
      <c r="F14" s="3">
        <f>BS!F41</f>
        <v>2.404532196544761</v>
      </c>
      <c r="G14" s="3">
        <f>BS!G41</f>
        <v>1.899067197971382</v>
      </c>
      <c r="H14" s="3">
        <f>BS!H41</f>
        <v>1.3232076866223208</v>
      </c>
      <c r="I14" s="3">
        <f>BS!I41</f>
        <v>1.1268921095008051</v>
      </c>
      <c r="J14" s="3">
        <f>BS!J41</f>
        <v>1.1447899695402706</v>
      </c>
      <c r="K14" s="3">
        <f>BS!K41</f>
        <v>1.1003489600073466</v>
      </c>
    </row>
    <row r="15" spans="1:14" x14ac:dyDescent="0.25">
      <c r="A15" t="s">
        <v>79</v>
      </c>
      <c r="B15" s="4">
        <f>BS!B10/(SUM(IS!B8:B12)/365)</f>
        <v>276.36083246832635</v>
      </c>
      <c r="C15" s="4">
        <f>BS!C10/(SUM(IS!C8:C12)/365)</f>
        <v>253.92023566734645</v>
      </c>
      <c r="D15" s="4">
        <f>BS!D10/(SUM(IS!D8:D12)/365)</f>
        <v>295.92203311572547</v>
      </c>
      <c r="E15" s="4">
        <f>BS!E10/(SUM(IS!E8:E12)/365)</f>
        <v>342.24902224038294</v>
      </c>
      <c r="F15" s="4">
        <f>BS!F10/(SUM(IS!F8:F12)/365)</f>
        <v>327.27027862410034</v>
      </c>
      <c r="G15" s="4">
        <f>BS!G10/(SUM(IS!G8:G12)/365)</f>
        <v>314.40499453051228</v>
      </c>
      <c r="H15" s="4">
        <f>BS!H10/(SUM(IS!H8:H12)/365)</f>
        <v>286.80342215256007</v>
      </c>
      <c r="I15" s="4">
        <f>BS!I10/(SUM(IS!I8:I12)/365)</f>
        <v>304.90117712391356</v>
      </c>
      <c r="J15" s="4">
        <f>BS!J10/(SUM(IS!J8:J12)/365)</f>
        <v>285.03248087557768</v>
      </c>
      <c r="K15" s="4">
        <f>BS!K10/(SUM(IS!K8:K12)/365)</f>
        <v>242.17083135277588</v>
      </c>
    </row>
    <row r="16" spans="1:14" x14ac:dyDescent="0.25"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25">
      <c r="A17" s="1" t="s">
        <v>80</v>
      </c>
      <c r="B17" s="1" t="s">
        <v>0</v>
      </c>
      <c r="C17" s="1" t="s">
        <v>1</v>
      </c>
      <c r="D17" s="1" t="s">
        <v>2</v>
      </c>
      <c r="E17" s="1" t="s">
        <v>3</v>
      </c>
      <c r="F17" s="1" t="s">
        <v>4</v>
      </c>
      <c r="G17" s="1" t="s">
        <v>5</v>
      </c>
      <c r="H17" s="1" t="s">
        <v>6</v>
      </c>
      <c r="I17" s="1" t="s">
        <v>7</v>
      </c>
      <c r="J17" s="1" t="s">
        <v>8</v>
      </c>
      <c r="K17" s="1" t="s">
        <v>9</v>
      </c>
    </row>
    <row r="18" spans="1:11" x14ac:dyDescent="0.25">
      <c r="A18" t="s">
        <v>81</v>
      </c>
      <c r="B18" s="3">
        <f>BS!B43</f>
        <v>1.3391843134897374</v>
      </c>
      <c r="C18" s="3">
        <f>BS!C43</f>
        <v>1.4164287210128101</v>
      </c>
      <c r="D18" s="3">
        <f>BS!D43</f>
        <v>1.236101194226273</v>
      </c>
      <c r="E18" s="3">
        <f>BS!E43</f>
        <v>1.1819473319473319</v>
      </c>
      <c r="F18" s="3">
        <f>BS!F43</f>
        <v>1.2291125920729569</v>
      </c>
      <c r="G18" s="3">
        <f>BS!G43</f>
        <v>1.2669885093271338</v>
      </c>
      <c r="H18" s="3">
        <f>BS!H43</f>
        <v>1.4173618567770712</v>
      </c>
      <c r="I18" s="3">
        <f>BS!I43</f>
        <v>1.4923083987693437</v>
      </c>
      <c r="J18" s="3">
        <f>BS!J43</f>
        <v>1.5685061104556686</v>
      </c>
      <c r="K18" s="3">
        <f>BS!K43</f>
        <v>1.5663333552617151</v>
      </c>
    </row>
    <row r="19" spans="1:11" x14ac:dyDescent="0.25">
      <c r="A19" t="s">
        <v>82</v>
      </c>
      <c r="B19" s="3">
        <f>BS!B44</f>
        <v>0.33918431348973754</v>
      </c>
      <c r="C19" s="3">
        <f>BS!C44</f>
        <v>0.41642872101281009</v>
      </c>
      <c r="D19" s="3">
        <f>BS!D44</f>
        <v>0.23610119422627299</v>
      </c>
      <c r="E19" s="3">
        <f>BS!E44</f>
        <v>0.18194733194733195</v>
      </c>
      <c r="F19" s="3">
        <f>BS!F44</f>
        <v>0.22911259207295687</v>
      </c>
      <c r="G19" s="3">
        <f>BS!G44</f>
        <v>0.26698850932713381</v>
      </c>
      <c r="H19" s="3">
        <f>BS!H44</f>
        <v>0.41736185677707111</v>
      </c>
      <c r="I19" s="3">
        <f>BS!I44</f>
        <v>0.49230839876934379</v>
      </c>
      <c r="J19" s="3">
        <f>BS!J44</f>
        <v>0.56850611045566857</v>
      </c>
      <c r="K19" s="3">
        <f>BS!K44</f>
        <v>0.56633335526171524</v>
      </c>
    </row>
    <row r="20" spans="1:11" x14ac:dyDescent="0.25">
      <c r="A20" s="5" t="s">
        <v>83</v>
      </c>
      <c r="B20" s="3">
        <f>BS!B45</f>
        <v>0.25327679698238698</v>
      </c>
      <c r="C20" s="3">
        <f>BS!C45</f>
        <v>0.29399906598550535</v>
      </c>
      <c r="D20" s="3">
        <f>BS!D45</f>
        <v>0.19100474567056666</v>
      </c>
      <c r="E20" s="3">
        <f>BS!E45</f>
        <v>0.15393861217788982</v>
      </c>
      <c r="F20" s="3">
        <f>BS!F45</f>
        <v>0.18640488556589235</v>
      </c>
      <c r="G20" s="3">
        <f>BS!G45</f>
        <v>0.21072685929008525</v>
      </c>
      <c r="H20" s="3">
        <f>BS!H45</f>
        <v>0.29446386946386949</v>
      </c>
      <c r="I20" s="3">
        <f>BS!I45</f>
        <v>0.32989722444458119</v>
      </c>
      <c r="J20" s="3">
        <f>BS!J45</f>
        <v>0.36245068263744995</v>
      </c>
      <c r="K20" s="3">
        <f>BS!K45</f>
        <v>0.36156629963810472</v>
      </c>
    </row>
    <row r="21" spans="1:11" x14ac:dyDescent="0.25">
      <c r="A21" t="s">
        <v>84</v>
      </c>
      <c r="B21" s="6">
        <f>IS!B15/IS!B16</f>
        <v>660.44600207684311</v>
      </c>
      <c r="C21" s="6">
        <f>IS!C15/IS!C16</f>
        <v>253.40896439197621</v>
      </c>
      <c r="D21" s="6">
        <f>IS!D15/IS!D16</f>
        <v>965.84848484848487</v>
      </c>
      <c r="E21" s="6">
        <f>IS!E15/IS!E16</f>
        <v>1079.53125</v>
      </c>
      <c r="F21" s="6">
        <f>IS!F15/IS!F16</f>
        <v>656.61538461538464</v>
      </c>
      <c r="G21" s="6">
        <f>IS!G15/IS!G16</f>
        <v>210.91414141414143</v>
      </c>
      <c r="H21" s="6">
        <f>IS!H15/IS!H16</f>
        <v>46.722943722943725</v>
      </c>
      <c r="I21" s="6">
        <f>IS!I15/IS!I16</f>
        <v>69.697017268445833</v>
      </c>
      <c r="J21" s="6">
        <f>IS!J15/IS!J16</f>
        <v>66.927295918367349</v>
      </c>
      <c r="K21" s="6">
        <f>IS!K15/IS!K16</f>
        <v>74.051347881899872</v>
      </c>
    </row>
    <row r="23" spans="1:11" x14ac:dyDescent="0.25">
      <c r="A23" s="1" t="s">
        <v>85</v>
      </c>
      <c r="B23" s="1" t="s">
        <v>0</v>
      </c>
      <c r="C23" s="1" t="s">
        <v>1</v>
      </c>
      <c r="D23" s="1" t="s">
        <v>2</v>
      </c>
      <c r="E23" s="1" t="s">
        <v>3</v>
      </c>
      <c r="F23" s="1" t="s">
        <v>4</v>
      </c>
      <c r="G23" s="1" t="s">
        <v>5</v>
      </c>
      <c r="H23" s="1" t="s">
        <v>6</v>
      </c>
      <c r="I23" s="1" t="s">
        <v>7</v>
      </c>
      <c r="J23" s="1" t="s">
        <v>8</v>
      </c>
      <c r="K23" s="1" t="s">
        <v>9</v>
      </c>
    </row>
    <row r="24" spans="1:11" x14ac:dyDescent="0.25">
      <c r="A24" t="s">
        <v>86</v>
      </c>
      <c r="B24" s="9"/>
      <c r="C24" s="7">
        <f>IS!C6/AVERAGE(BS!B18:C18)</f>
        <v>1.4037851711311489</v>
      </c>
      <c r="D24" s="7">
        <f>IS!D6/AVERAGE(BS!C18:D18)</f>
        <v>1.3827207062580458</v>
      </c>
      <c r="E24" s="7">
        <f>IS!E6/AVERAGE(BS!D18:E18)</f>
        <v>1.2819686922947793</v>
      </c>
      <c r="F24" s="7">
        <f>IS!F6/AVERAGE(BS!E18:F18)</f>
        <v>1.2218896263840084</v>
      </c>
      <c r="G24" s="7">
        <f>IS!G6/AVERAGE(BS!F18:G18)</f>
        <v>1.3767617690969607</v>
      </c>
      <c r="H24" s="7">
        <f>IS!H6/AVERAGE(BS!G18:H18)</f>
        <v>1.3805684105272604</v>
      </c>
      <c r="I24" s="7">
        <f>IS!I6/AVERAGE(BS!H18:I18)</f>
        <v>1.3378886258955989</v>
      </c>
      <c r="J24" s="7">
        <f>IS!J6/AVERAGE(BS!I18:J18)</f>
        <v>1.4452597853209113</v>
      </c>
      <c r="K24" s="7">
        <f>IS!K6/AVERAGE(BS!J18:K18)</f>
        <v>1.6132537889866554</v>
      </c>
    </row>
    <row r="25" spans="1:11" x14ac:dyDescent="0.25">
      <c r="A25" t="s">
        <v>87</v>
      </c>
      <c r="C25" s="7">
        <f>IS!C6/AVERAGE(BS!B7:C7)</f>
        <v>5.0877834424751622</v>
      </c>
      <c r="D25" s="7">
        <f>IS!D6/AVERAGE(BS!C7:D7)</f>
        <v>5.0203388200743451</v>
      </c>
      <c r="E25" s="7">
        <f>IS!E6/AVERAGE(BS!D7:E7)</f>
        <v>5.233968729920754</v>
      </c>
      <c r="F25" s="7">
        <f>IS!F6/AVERAGE(BS!E7:F7)</f>
        <v>5.3299411269974772</v>
      </c>
      <c r="G25" s="7">
        <f>IS!G6/AVERAGE(BS!F7:G7)</f>
        <v>5.7669490715064358</v>
      </c>
      <c r="H25" s="7">
        <f>IS!H6/AVERAGE(BS!G7:H7)</f>
        <v>5.582121013165624</v>
      </c>
      <c r="I25" s="7">
        <f>IS!I6/AVERAGE(BS!H7:I7)</f>
        <v>5.5208130537361209</v>
      </c>
      <c r="J25" s="7">
        <f>IS!J6/AVERAGE(BS!I7:J7)</f>
        <v>5.446507810652534</v>
      </c>
      <c r="K25" s="7">
        <f>IS!K6/AVERAGE(BS!J7:K7)</f>
        <v>4.9890370951571423</v>
      </c>
    </row>
    <row r="26" spans="1:11" x14ac:dyDescent="0.25">
      <c r="A26" t="s">
        <v>88</v>
      </c>
      <c r="C26" s="9">
        <f>(IS!C8+IS!C12)/AVERAGE(BS!B8:C8)</f>
        <v>1665.564578005115</v>
      </c>
      <c r="D26" s="9">
        <f>(IS!D8+IS!D12)/AVERAGE(BS!C8:D8)</f>
        <v>438.54069223573435</v>
      </c>
      <c r="E26" s="9">
        <f>(IS!E8+IS!E12)/AVERAGE(BS!D8:E8)</f>
        <v>413.08108108108109</v>
      </c>
      <c r="F26" s="9">
        <f>(IS!F8+IS!F12)/AVERAGE(BS!E8:F8)</f>
        <v>314.21276595744683</v>
      </c>
      <c r="G26" s="9">
        <f>(IS!G8+IS!G12)/AVERAGE(BS!F8:G8)</f>
        <v>462.44444444444446</v>
      </c>
      <c r="H26" s="11">
        <f>(IS!H8+IS!H12)/AVERAGE(BS!G8:H8)</f>
        <v>1114.8</v>
      </c>
      <c r="I26" s="11">
        <f>(IS!I8+IS!I12)/AVERAGE(BS!H8:I8)</f>
        <v>1340.4615384615386</v>
      </c>
      <c r="J26" s="9">
        <f>(IS!J8+IS!J12)/AVERAGE(BS!I8:J8)</f>
        <v>568.28571428571433</v>
      </c>
      <c r="K26" s="9">
        <f>(IS!K8+IS!K12)/AVERAGE(BS!J8:K8)</f>
        <v>406.83333333333331</v>
      </c>
    </row>
    <row r="27" spans="1:11" x14ac:dyDescent="0.25">
      <c r="A27" t="s">
        <v>89</v>
      </c>
      <c r="C27" s="7">
        <f>(IS!C8+IS!C12)/AVERAGE(BS!B19:C19)</f>
        <v>3.4293863370522035</v>
      </c>
      <c r="D27" s="7">
        <f>(IS!D8+IS!D12)/AVERAGE(BS!C19:D19)</f>
        <v>0.82533564471131449</v>
      </c>
      <c r="E27" s="7">
        <f>(IS!E8+IS!E12)/AVERAGE(BS!D19:E19)</f>
        <v>1.1699326393141458</v>
      </c>
      <c r="F27" s="7">
        <f>(IS!F8+IS!F12)/AVERAGE(BS!E19:F19)</f>
        <v>1.4000758437618506</v>
      </c>
      <c r="G27" s="7">
        <f>(IS!G8+IS!G12)/AVERAGE(BS!F19:G19)</f>
        <v>1.3930215044766128</v>
      </c>
      <c r="H27" s="7">
        <f>(IS!H8+IS!H12)/AVERAGE(BS!G19:H19)</f>
        <v>1.2084989520849896</v>
      </c>
      <c r="I27" s="7">
        <f>(IS!I8+IS!I12)/AVERAGE(BS!H19:I19)</f>
        <v>1.1241855364170052</v>
      </c>
      <c r="J27" s="7">
        <f>(IS!J8+IS!J12)/AVERAGE(BS!I19:J19)</f>
        <v>0.9318887262079063</v>
      </c>
      <c r="K27" s="7">
        <f>(IS!K8+IS!K12)/AVERAGE(BS!J19:K19)</f>
        <v>0.97338251420596156</v>
      </c>
    </row>
    <row r="28" spans="1:11" x14ac:dyDescent="0.25">
      <c r="A28" t="s">
        <v>90</v>
      </c>
      <c r="C28" s="7">
        <f>365/C25</f>
        <v>71.740474830908028</v>
      </c>
      <c r="D28" s="7">
        <f t="shared" ref="D28:K28" si="0">365/D25</f>
        <v>72.704256242728022</v>
      </c>
      <c r="E28" s="7">
        <f t="shared" si="0"/>
        <v>69.7367559560346</v>
      </c>
      <c r="F28" s="7">
        <f t="shared" si="0"/>
        <v>68.481056601391757</v>
      </c>
      <c r="G28" s="7">
        <f t="shared" si="0"/>
        <v>63.291698170772143</v>
      </c>
      <c r="H28" s="7">
        <f t="shared" si="0"/>
        <v>65.387332008592253</v>
      </c>
      <c r="I28" s="7">
        <f t="shared" si="0"/>
        <v>66.113450400750693</v>
      </c>
      <c r="J28" s="7">
        <f t="shared" si="0"/>
        <v>67.015418445947319</v>
      </c>
      <c r="K28" s="7">
        <f t="shared" si="0"/>
        <v>73.160410122888337</v>
      </c>
    </row>
    <row r="29" spans="1:11" x14ac:dyDescent="0.25">
      <c r="A29" t="s">
        <v>91</v>
      </c>
      <c r="C29" s="7">
        <f>365/C26</f>
        <v>0.21914491027250885</v>
      </c>
      <c r="D29" s="7">
        <f t="shared" ref="D29:K29" si="1">365/D26</f>
        <v>0.83230588737201361</v>
      </c>
      <c r="E29" s="7">
        <f t="shared" si="1"/>
        <v>0.883603768646951</v>
      </c>
      <c r="F29" s="7">
        <f t="shared" si="1"/>
        <v>1.1616332611050919</v>
      </c>
      <c r="G29" s="7">
        <f t="shared" si="1"/>
        <v>0.78928399807784722</v>
      </c>
      <c r="H29" s="7">
        <f t="shared" si="1"/>
        <v>0.3274129888769286</v>
      </c>
      <c r="I29" s="7">
        <f t="shared" si="1"/>
        <v>0.27229427292551356</v>
      </c>
      <c r="J29" s="7">
        <f t="shared" si="1"/>
        <v>0.64228255404725987</v>
      </c>
      <c r="K29" s="7">
        <f t="shared" si="1"/>
        <v>0.89717328963539533</v>
      </c>
    </row>
    <row r="30" spans="1:11" x14ac:dyDescent="0.25">
      <c r="A30" t="s">
        <v>92</v>
      </c>
      <c r="C30" s="7">
        <f>365/C27</f>
        <v>106.43303615472584</v>
      </c>
      <c r="D30" s="7">
        <f t="shared" ref="D30:K30" si="2">365/D27</f>
        <v>442.24431882821386</v>
      </c>
      <c r="E30" s="7">
        <f t="shared" si="2"/>
        <v>311.98377388118291</v>
      </c>
      <c r="F30" s="7">
        <f t="shared" si="2"/>
        <v>260.70016251354281</v>
      </c>
      <c r="G30" s="7">
        <f t="shared" si="2"/>
        <v>262.02036280634314</v>
      </c>
      <c r="H30" s="7">
        <f t="shared" si="2"/>
        <v>302.02756847267074</v>
      </c>
      <c r="I30" s="7">
        <f t="shared" si="2"/>
        <v>324.67950189372203</v>
      </c>
      <c r="J30" s="7">
        <f t="shared" si="2"/>
        <v>391.67766465560584</v>
      </c>
      <c r="K30" s="7">
        <f t="shared" si="2"/>
        <v>374.98105284719378</v>
      </c>
    </row>
    <row r="31" spans="1:11" x14ac:dyDescent="0.25">
      <c r="C31" s="6"/>
      <c r="D31" s="6"/>
      <c r="E31" s="6"/>
      <c r="F31" s="6"/>
      <c r="G31" s="6"/>
      <c r="H31" s="6"/>
      <c r="I31" s="6"/>
      <c r="J31" s="6"/>
      <c r="K31" s="6"/>
    </row>
    <row r="32" spans="1:11" x14ac:dyDescent="0.25">
      <c r="A32" t="s">
        <v>93</v>
      </c>
      <c r="C32" s="6">
        <f>C28+C29</f>
        <v>71.959619741180532</v>
      </c>
      <c r="D32" s="6">
        <f t="shared" ref="D32:K32" si="3">D28+D29</f>
        <v>73.536562130100037</v>
      </c>
      <c r="E32" s="6">
        <f t="shared" si="3"/>
        <v>70.620359724681549</v>
      </c>
      <c r="F32" s="6">
        <f t="shared" si="3"/>
        <v>69.642689862496852</v>
      </c>
      <c r="G32" s="6">
        <f t="shared" si="3"/>
        <v>64.080982168849985</v>
      </c>
      <c r="H32" s="6">
        <f t="shared" si="3"/>
        <v>65.714744997469182</v>
      </c>
      <c r="I32" s="6">
        <f t="shared" si="3"/>
        <v>66.3857446736762</v>
      </c>
      <c r="J32" s="6">
        <f t="shared" si="3"/>
        <v>67.657700999994574</v>
      </c>
      <c r="K32" s="6">
        <f t="shared" si="3"/>
        <v>74.057583412523726</v>
      </c>
    </row>
    <row r="33" spans="1:11" x14ac:dyDescent="0.25">
      <c r="A33" t="s">
        <v>94</v>
      </c>
      <c r="C33" s="6">
        <f>C28+C29-C30</f>
        <v>-34.473416413545309</v>
      </c>
      <c r="D33" s="6">
        <f t="shared" ref="D33:K33" si="4">D28+D29-D30</f>
        <v>-368.70775669811383</v>
      </c>
      <c r="E33" s="6">
        <f t="shared" si="4"/>
        <v>-241.36341415650136</v>
      </c>
      <c r="F33" s="6">
        <f t="shared" si="4"/>
        <v>-191.05747265104594</v>
      </c>
      <c r="G33" s="6">
        <f t="shared" si="4"/>
        <v>-197.93938063749317</v>
      </c>
      <c r="H33" s="6">
        <f t="shared" si="4"/>
        <v>-236.31282347520155</v>
      </c>
      <c r="I33" s="6">
        <f t="shared" si="4"/>
        <v>-258.29375722004585</v>
      </c>
      <c r="J33" s="6">
        <f t="shared" si="4"/>
        <v>-324.01996365561126</v>
      </c>
      <c r="K33" s="6">
        <f t="shared" si="4"/>
        <v>-300.92346943467004</v>
      </c>
    </row>
  </sheetData>
  <pageMargins left="0.7" right="0.7" top="0.75" bottom="0.75" header="0.3" footer="0.3"/>
  <ignoredErrors>
    <ignoredError sqref="C7:K9 B15:K15 C24:K27" formulaRange="1"/>
  </ignoredErrors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</vt:lpstr>
      <vt:lpstr>BS</vt:lpstr>
      <vt:lpstr>CFS</vt:lpstr>
      <vt:lpstr>Ratio Analysis-tcs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</dc:creator>
  <cp:lastModifiedBy>Priyal gor</cp:lastModifiedBy>
  <dcterms:created xsi:type="dcterms:W3CDTF">2023-12-11T08:26:20Z</dcterms:created>
  <dcterms:modified xsi:type="dcterms:W3CDTF">2026-06-11T10:59:17Z</dcterms:modified>
</cp:coreProperties>
</file>