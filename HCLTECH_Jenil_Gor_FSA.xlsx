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61899DB191D5D9/Documents/"/>
    </mc:Choice>
  </mc:AlternateContent>
  <xr:revisionPtr revIDLastSave="89" documentId="8_{5C24DE84-D59F-44B0-98A9-A6BD1BC94DA2}" xr6:coauthVersionLast="47" xr6:coauthVersionMax="47" xr10:uidLastSave="{AD1BC093-EC95-4153-92C0-8B12E3745FEF}"/>
  <bookViews>
    <workbookView xWindow="-120" yWindow="-120" windowWidth="20730" windowHeight="11040" xr2:uid="{00000000-000D-0000-FFFF-FFFF00000000}"/>
  </bookViews>
  <sheets>
    <sheet name="IS" sheetId="1" r:id="rId1"/>
    <sheet name="BS" sheetId="2" r:id="rId2"/>
    <sheet name="CFS" sheetId="3" r:id="rId3"/>
    <sheet name="Ratio Analysis-hc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H7" i="1"/>
  <c r="G7" i="1"/>
  <c r="F7" i="1"/>
  <c r="E7" i="1"/>
  <c r="D7" i="1"/>
  <c r="C7" i="1"/>
  <c r="K27" i="4"/>
  <c r="K30" i="4" s="1"/>
  <c r="J27" i="4"/>
  <c r="J30" i="4" s="1"/>
  <c r="I27" i="4"/>
  <c r="I30" i="4" s="1"/>
  <c r="H27" i="4"/>
  <c r="H30" i="4" s="1"/>
  <c r="G27" i="4"/>
  <c r="G30" i="4" s="1"/>
  <c r="F27" i="4"/>
  <c r="F30" i="4" s="1"/>
  <c r="E27" i="4"/>
  <c r="E30" i="4" s="1"/>
  <c r="D27" i="4"/>
  <c r="D30" i="4" s="1"/>
  <c r="K26" i="4"/>
  <c r="K29" i="4" s="1"/>
  <c r="J26" i="4"/>
  <c r="J29" i="4" s="1"/>
  <c r="I26" i="4"/>
  <c r="I29" i="4" s="1"/>
  <c r="H26" i="4"/>
  <c r="H29" i="4" s="1"/>
  <c r="G26" i="4"/>
  <c r="G29" i="4" s="1"/>
  <c r="F26" i="4"/>
  <c r="F29" i="4" s="1"/>
  <c r="E26" i="4"/>
  <c r="E29" i="4" s="1"/>
  <c r="D26" i="4"/>
  <c r="D29" i="4" s="1"/>
  <c r="K25" i="4"/>
  <c r="K28" i="4" s="1"/>
  <c r="J25" i="4"/>
  <c r="J28" i="4" s="1"/>
  <c r="I25" i="4"/>
  <c r="I28" i="4" s="1"/>
  <c r="H25" i="4"/>
  <c r="H28" i="4" s="1"/>
  <c r="G25" i="4"/>
  <c r="G28" i="4" s="1"/>
  <c r="F25" i="4"/>
  <c r="F28" i="4" s="1"/>
  <c r="E25" i="4"/>
  <c r="E28" i="4" s="1"/>
  <c r="D25" i="4"/>
  <c r="D28" i="4" s="1"/>
  <c r="K24" i="4"/>
  <c r="J24" i="4"/>
  <c r="I24" i="4"/>
  <c r="H24" i="4"/>
  <c r="G24" i="4"/>
  <c r="F24" i="4"/>
  <c r="E24" i="4"/>
  <c r="D24" i="4"/>
  <c r="C28" i="4"/>
  <c r="C32" i="4" s="1"/>
  <c r="C27" i="4"/>
  <c r="C30" i="4" s="1"/>
  <c r="C26" i="4"/>
  <c r="C29" i="4" s="1"/>
  <c r="C25" i="4"/>
  <c r="C24" i="4"/>
  <c r="K21" i="4"/>
  <c r="J21" i="4"/>
  <c r="I21" i="4"/>
  <c r="H21" i="4"/>
  <c r="G21" i="4"/>
  <c r="F21" i="4"/>
  <c r="E21" i="4"/>
  <c r="D21" i="4"/>
  <c r="C21" i="4"/>
  <c r="K20" i="4"/>
  <c r="J20" i="4"/>
  <c r="I20" i="4"/>
  <c r="H20" i="4"/>
  <c r="G20" i="4"/>
  <c r="F20" i="4"/>
  <c r="E20" i="4"/>
  <c r="D20" i="4"/>
  <c r="C20" i="4"/>
  <c r="K19" i="4"/>
  <c r="J19" i="4"/>
  <c r="I19" i="4"/>
  <c r="H19" i="4"/>
  <c r="G19" i="4"/>
  <c r="F19" i="4"/>
  <c r="E19" i="4"/>
  <c r="D19" i="4"/>
  <c r="C19" i="4"/>
  <c r="K18" i="4"/>
  <c r="J18" i="4"/>
  <c r="I18" i="4"/>
  <c r="H18" i="4"/>
  <c r="G18" i="4"/>
  <c r="F18" i="4"/>
  <c r="E18" i="4"/>
  <c r="D18" i="4"/>
  <c r="C18" i="4"/>
  <c r="B21" i="4"/>
  <c r="B20" i="4"/>
  <c r="B19" i="4"/>
  <c r="B18" i="4"/>
  <c r="C15" i="4"/>
  <c r="D15" i="4"/>
  <c r="E15" i="4"/>
  <c r="F15" i="4"/>
  <c r="G15" i="4"/>
  <c r="H15" i="4"/>
  <c r="I15" i="4"/>
  <c r="J15" i="4"/>
  <c r="K15" i="4"/>
  <c r="C14" i="4"/>
  <c r="D14" i="4"/>
  <c r="E14" i="4"/>
  <c r="F14" i="4"/>
  <c r="G14" i="4"/>
  <c r="H14" i="4"/>
  <c r="I14" i="4"/>
  <c r="J14" i="4"/>
  <c r="K14" i="4"/>
  <c r="C13" i="4"/>
  <c r="D13" i="4"/>
  <c r="E13" i="4"/>
  <c r="F13" i="4"/>
  <c r="G13" i="4"/>
  <c r="H13" i="4"/>
  <c r="I13" i="4"/>
  <c r="J13" i="4"/>
  <c r="K13" i="4"/>
  <c r="C12" i="4"/>
  <c r="D12" i="4"/>
  <c r="E12" i="4"/>
  <c r="F12" i="4"/>
  <c r="G12" i="4"/>
  <c r="H12" i="4"/>
  <c r="I12" i="4"/>
  <c r="J12" i="4"/>
  <c r="K12" i="4"/>
  <c r="B15" i="4"/>
  <c r="B14" i="4"/>
  <c r="B13" i="4"/>
  <c r="B12" i="4"/>
  <c r="D9" i="4"/>
  <c r="E9" i="4"/>
  <c r="F9" i="4"/>
  <c r="G9" i="4"/>
  <c r="H9" i="4"/>
  <c r="I9" i="4"/>
  <c r="J9" i="4"/>
  <c r="K9" i="4"/>
  <c r="D8" i="4"/>
  <c r="E8" i="4"/>
  <c r="F8" i="4"/>
  <c r="G8" i="4"/>
  <c r="H8" i="4"/>
  <c r="I8" i="4"/>
  <c r="J8" i="4"/>
  <c r="K8" i="4"/>
  <c r="D7" i="4"/>
  <c r="E7" i="4"/>
  <c r="F7" i="4"/>
  <c r="G7" i="4"/>
  <c r="H7" i="4"/>
  <c r="I7" i="4"/>
  <c r="J7" i="4"/>
  <c r="K7" i="4"/>
  <c r="C9" i="4"/>
  <c r="C8" i="4"/>
  <c r="C7" i="4"/>
  <c r="K6" i="4"/>
  <c r="J6" i="4"/>
  <c r="I6" i="4"/>
  <c r="H6" i="4"/>
  <c r="G6" i="4"/>
  <c r="F6" i="4"/>
  <c r="E6" i="4"/>
  <c r="D6" i="4"/>
  <c r="C6" i="4"/>
  <c r="K5" i="4"/>
  <c r="J5" i="4"/>
  <c r="I5" i="4"/>
  <c r="H5" i="4"/>
  <c r="G5" i="4"/>
  <c r="F5" i="4"/>
  <c r="E5" i="4"/>
  <c r="D5" i="4"/>
  <c r="C5" i="4"/>
  <c r="K4" i="4"/>
  <c r="J4" i="4"/>
  <c r="I4" i="4"/>
  <c r="H4" i="4"/>
  <c r="G4" i="4"/>
  <c r="F4" i="4"/>
  <c r="E4" i="4"/>
  <c r="D4" i="4"/>
  <c r="C4" i="4"/>
  <c r="K3" i="4"/>
  <c r="J3" i="4"/>
  <c r="I3" i="4"/>
  <c r="H3" i="4"/>
  <c r="G3" i="4"/>
  <c r="F3" i="4"/>
  <c r="E3" i="4"/>
  <c r="D3" i="4"/>
  <c r="C3" i="4"/>
  <c r="B6" i="4"/>
  <c r="B5" i="4"/>
  <c r="B4" i="4"/>
  <c r="B3" i="4"/>
  <c r="H33" i="4" l="1"/>
  <c r="H32" i="4"/>
  <c r="E33" i="4"/>
  <c r="E32" i="4"/>
  <c r="I33" i="4"/>
  <c r="I32" i="4"/>
  <c r="F33" i="4"/>
  <c r="F32" i="4"/>
  <c r="J33" i="4"/>
  <c r="J32" i="4"/>
  <c r="D32" i="4"/>
  <c r="D33" i="4"/>
  <c r="G32" i="4"/>
  <c r="G33" i="4"/>
  <c r="K32" i="4"/>
  <c r="K33" i="4"/>
  <c r="C33" i="4"/>
</calcChain>
</file>

<file path=xl/sharedStrings.xml><?xml version="1.0" encoding="utf-8"?>
<sst xmlns="http://schemas.openxmlformats.org/spreadsheetml/2006/main" count="187" uniqueCount="96">
  <si>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</si>
  <si>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</si>
  <si>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</si>
  <si>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</si>
  <si>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</si>
  <si>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</si>
  <si>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</si>
  <si>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</si>
  <si>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</si>
  <si>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</si>
  <si>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'Total Revenue'</t>
  </si>
  <si>
    <t>'- Raw Materials'</t>
  </si>
  <si>
    <t>-</t>
  </si>
  <si>
    <t>'- Power &amp; Fuel Cost'</t>
  </si>
  <si>
    <t>'- Employee Cost'</t>
  </si>
  <si>
    <t>'- Selling &amp; Administrative Expenses'</t>
  </si>
  <si>
    <t>'- Operating &amp; Other expenses'</t>
  </si>
  <si>
    <t>'= EBITDA'</t>
  </si>
  <si>
    <t>'- Depreciation/Amortization'</t>
  </si>
  <si>
    <t>'= PBIT'</t>
  </si>
  <si>
    <t>'- Interest &amp; Other Items'</t>
  </si>
  <si>
    <t>'= PBT'</t>
  </si>
  <si>
    <t>'- Taxes &amp; Other Items'</t>
  </si>
  <si>
    <t>'= Net Income'</t>
  </si>
  <si>
    <t>'EPS'</t>
  </si>
  <si>
    <t>'DPS'</t>
  </si>
  <si>
    <t>'Payout ratio'</t>
  </si>
  <si>
    <t>'Cash and Short Term Investments'</t>
  </si>
  <si>
    <t>'+ Total Receivables'</t>
  </si>
  <si>
    <t>'+ Total Inventory'</t>
  </si>
  <si>
    <t>'+ Other Current Assets'</t>
  </si>
  <si>
    <t>'= Total Current Assets (A1)'</t>
  </si>
  <si>
    <t>'Loans &amp; Advances'</t>
  </si>
  <si>
    <t>'+ Net Property/Plant/Equipment'</t>
  </si>
  <si>
    <t>'+ Goodwill &amp; Intangibles'</t>
  </si>
  <si>
    <t>'+ Long Term Investments'</t>
  </si>
  <si>
    <t>'+ Deferred Tax Assets (Net)'</t>
  </si>
  <si>
    <t>'+ Other Assets'</t>
  </si>
  <si>
    <t>'= Non Current Assets (A2)'</t>
  </si>
  <si>
    <t>'Total Assets (A1 + A2)'</t>
  </si>
  <si>
    <t>'Accounts Payable'</t>
  </si>
  <si>
    <t>'+ Total Deposits'</t>
  </si>
  <si>
    <t>'+ Other Current Liabilities'</t>
  </si>
  <si>
    <t>'= Current Liabilities'</t>
  </si>
  <si>
    <t>'Total Long Term Debt'</t>
  </si>
  <si>
    <t>'+ Deferred Tax Liabilities (Net)'</t>
  </si>
  <si>
    <t>'+ Other Liabilities'</t>
  </si>
  <si>
    <t>'= Non Current Liabilities'</t>
  </si>
  <si>
    <t>'Total Liabilities'</t>
  </si>
  <si>
    <t>'Common Stock'</t>
  </si>
  <si>
    <t>'+ Additional Paid-in Capital'</t>
  </si>
  <si>
    <t>'+ Reserves &amp; Surplus'</t>
  </si>
  <si>
    <t>'+ Minority Interest'</t>
  </si>
  <si>
    <t>'+ Other Equity'</t>
  </si>
  <si>
    <t>'Total Equity'</t>
  </si>
  <si>
    <t>'Total Liabilities &amp; Shareholder's Equity'</t>
  </si>
  <si>
    <t>'Cash from Operating Activities'</t>
  </si>
  <si>
    <t>'+ Cash from Investing Activities'</t>
  </si>
  <si>
    <t>'+ Cash from Financing Activities'</t>
  </si>
  <si>
    <t>'= Net Change in Cash'</t>
  </si>
  <si>
    <t>'Changes in Working Capital'</t>
  </si>
  <si>
    <t>'Capital Expenditures'</t>
  </si>
  <si>
    <t>'Free Cash Flow'</t>
  </si>
  <si>
    <t>HCL Technologies Ltd (HCLTECH)</t>
  </si>
  <si>
    <t>Income Statement (All numbers in INR crores except EPS and DPS)</t>
  </si>
  <si>
    <t>Balance Sheet (All numbers in INR crores)</t>
  </si>
  <si>
    <t>Cash Flow Statement (All numbers in INR crores)</t>
  </si>
  <si>
    <t>Profitability Ratios</t>
  </si>
  <si>
    <t>EBITDA Margin</t>
  </si>
  <si>
    <t>EBIT Margin</t>
  </si>
  <si>
    <t>EBT Margin</t>
  </si>
  <si>
    <t>PAT Margin</t>
  </si>
  <si>
    <t>ROA</t>
  </si>
  <si>
    <t>ROE</t>
  </si>
  <si>
    <t>ROCE</t>
  </si>
  <si>
    <t>Liquidity Ratios</t>
  </si>
  <si>
    <t>Current Ratio</t>
  </si>
  <si>
    <t>Quick Ratio</t>
  </si>
  <si>
    <t>Cash Ratio</t>
  </si>
  <si>
    <t>Defensive Interval</t>
  </si>
  <si>
    <t>Solvency Ratios</t>
  </si>
  <si>
    <t>A/E</t>
  </si>
  <si>
    <t>D/E</t>
  </si>
  <si>
    <t>D/A</t>
  </si>
  <si>
    <t>Interest Coverage Ratio</t>
  </si>
  <si>
    <t>Activity Ratios</t>
  </si>
  <si>
    <t>Asset Turnover Ratio</t>
  </si>
  <si>
    <t>Receivables Turnover Ratio</t>
  </si>
  <si>
    <t>Inventory Turnover Ratio</t>
  </si>
  <si>
    <t>Payables Turnover Ratio</t>
  </si>
  <si>
    <t>Receivable Days (DSO)</t>
  </si>
  <si>
    <t>Inventory Days (DIH)</t>
  </si>
  <si>
    <t xml:space="preserve">Payable Days </t>
  </si>
  <si>
    <t>Operating Cycle</t>
  </si>
  <si>
    <t>Net Operating Cycle (CCC)</t>
  </si>
  <si>
    <t>y-o-y grwoth in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</si>
</sst>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13" fillId="33" borderId="0" xfId="0" applyFont="1" applyFill="1"/>
    <xf numFmtId="165" fontId="0" fillId="0" borderId="0" xfId="42" applyNumberFormat="1" applyFont="1"/>
    <xf numFmtId="166" fontId="0" fillId="0" borderId="0" xfId="42" applyNumberFormat="1" applyFont="1"/>
    <xf numFmtId="167" fontId="0" fillId="0" borderId="0" xfId="43" applyNumberFormat="1" applyFont="1"/>
    <xf numFmtId="164" fontId="0" fillId="0" borderId="0" xfId="0" applyNumberFormat="1"/>
    <xf numFmtId="164" fontId="0" fillId="0" borderId="0" xfId="44" applyFont="1"/>
    <xf numFmtId="166" fontId="0" fillId="0" borderId="0" xfId="44" applyNumberFormat="1" applyFont="1"/>
    <xf numFmtId="9" fontId="0" fillId="0" borderId="0" xfId="43" applyFont="1"/>
    <xf numFmtId="0" fontId="18" fillId="0" borderId="0" xfId="0" applyFont="1"/>
    <xf numFmtId="9" fontId="18" fillId="0" borderId="0" xfId="43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" xfId="44" xr:uid="{13A42FCC-95FD-4994-B8D0-27662A18258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IS!$B$5:$K$5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IS!$B$6:$K$6</c:f>
              <c:numCache>
                <c:formatCode>_(* #,##0_);_(* \(#,##0\);_(* "-"??_);_(@_)</c:formatCode>
                <c:ptCount val="10"/>
                <c:pt idx="0">
                  <c:v>32821.06</c:v>
                </c:pt>
                <c:pt idx="1">
                  <c:v>37840.68</c:v>
                </c:pt>
                <c:pt idx="2">
                  <c:v>32006.83</c:v>
                </c:pt>
                <c:pt idx="3">
                  <c:v>48643</c:v>
                </c:pt>
                <c:pt idx="4">
                  <c:v>51799</c:v>
                </c:pt>
                <c:pt idx="5">
                  <c:v>61370</c:v>
                </c:pt>
                <c:pt idx="6">
                  <c:v>71265</c:v>
                </c:pt>
                <c:pt idx="7">
                  <c:v>76306</c:v>
                </c:pt>
                <c:pt idx="8">
                  <c:v>86718</c:v>
                </c:pt>
                <c:pt idx="9">
                  <c:v>102814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0-445A-A383-FEFCBB10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176287"/>
        <c:axId val="1626949743"/>
      </c:lineChart>
      <c:catAx>
        <c:axId val="203017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949743"/>
        <c:crosses val="autoZero"/>
        <c:auto val="1"/>
        <c:lblAlgn val="ctr"/>
        <c:lblOffset val="100"/>
        <c:noMultiLvlLbl val="0"/>
      </c:catAx>
      <c:valAx>
        <c:axId val="162694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17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IS!$B$5:$K$5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IS!$B$19:$K$19</c:f>
              <c:numCache>
                <c:formatCode>_(* #,##0_);_(* \(#,##0\);_(* "-"??_);_(@_)</c:formatCode>
                <c:ptCount val="10"/>
                <c:pt idx="0">
                  <c:v>6509.51</c:v>
                </c:pt>
                <c:pt idx="1">
                  <c:v>7317.07</c:v>
                </c:pt>
                <c:pt idx="2">
                  <c:v>5602.43</c:v>
                </c:pt>
                <c:pt idx="3">
                  <c:v>8606</c:v>
                </c:pt>
                <c:pt idx="4">
                  <c:v>8721</c:v>
                </c:pt>
                <c:pt idx="5">
                  <c:v>10120</c:v>
                </c:pt>
                <c:pt idx="6">
                  <c:v>11057</c:v>
                </c:pt>
                <c:pt idx="7">
                  <c:v>11145</c:v>
                </c:pt>
                <c:pt idx="8">
                  <c:v>13499</c:v>
                </c:pt>
                <c:pt idx="9">
                  <c:v>14851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8-4BD1-86E1-337F31821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040223"/>
        <c:axId val="1481041663"/>
      </c:lineChart>
      <c:catAx>
        <c:axId val="148104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041663"/>
        <c:crosses val="autoZero"/>
        <c:auto val="1"/>
        <c:lblAlgn val="ctr"/>
        <c:lblOffset val="100"/>
        <c:noMultiLvlLbl val="0"/>
      </c:catAx>
      <c:valAx>
        <c:axId val="14810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04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2</xdr:row>
      <xdr:rowOff>119062</xdr:rowOff>
    </xdr:from>
    <xdr:to>
      <xdr:col>17</xdr:col>
      <xdr:colOff>200025</xdr:colOff>
      <xdr:row>17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1F189-F976-7D98-BDDA-7118ED0E2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419100</xdr:colOff>
      <xdr:row>17</xdr:row>
      <xdr:rowOff>176212</xdr:rowOff>
    </xdr:from>
    <xdr:to>
      <xdr:col>17</xdr:col>
      <xdr:colOff>190500</xdr:colOff>
      <xdr:row>27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BEDFB2-4EB0-2E77-919E-052B924FB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3"/>
  <sheetViews>
    <sheetView tabSelected="1" topLeftCell="B1" workbookViewId="0">
      <selection activeCell="J28" sqref="J28"/>
    </sheetView>
  </sheetViews>
  <sheetFormatPr defaultRowHeight="15" x14ac:dyDescent="0.25"/>
  <cols>
    <col min="1" max="1" width="57.5703125" bestFit="1" customWidth="1"/>
    <col min="2" max="10" width="10.140625" bestFit="1" customWidth="1"/>
    <col min="11" max="11" width="11.140625" bestFit="1" customWidth="1"/>
  </cols>
  <sheetData>
    <row r="2" spans="1:11" x14ac:dyDescent="0.25">
      <c r="A2" t="s">
        <v>63</v>
      </c>
    </row>
    <row r="5" spans="1:11" x14ac:dyDescent="0.25">
      <c r="A5" s="1" t="s">
        <v>64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t="s">
        <v>10</v>
      </c>
      <c r="B6" s="3">
        <v>32821.06</v>
      </c>
      <c r="C6" s="3">
        <v>37840.68</v>
      </c>
      <c r="D6" s="3">
        <v>32006.83</v>
      </c>
      <c r="E6" s="3">
        <v>48643</v>
      </c>
      <c r="F6" s="3">
        <v>51799</v>
      </c>
      <c r="G6" s="3">
        <v>61370</v>
      </c>
      <c r="H6" s="3">
        <v>71265</v>
      </c>
      <c r="I6" s="3">
        <v>76306</v>
      </c>
      <c r="J6" s="3">
        <v>86718</v>
      </c>
      <c r="K6" s="3">
        <v>102814</v>
      </c>
    </row>
    <row r="7" spans="1:11" x14ac:dyDescent="0.25">
      <c r="A7" s="9" t="s">
        <v>95</v>
      </c>
      <c r="B7" s="3"/>
      <c r="C7" s="10">
        <f>C6/B6-1</f>
        <v>0.15293899709515779</v>
      </c>
      <c r="D7" s="10">
        <f t="shared" ref="D7:K7" si="0">D6/C6-1</f>
        <v>-0.15416874115370016</v>
      </c>
      <c r="E7" s="10">
        <f t="shared" si="0"/>
        <v>0.5197693742241889</v>
      </c>
      <c r="F7" s="10">
        <f t="shared" si="0"/>
        <v>6.4880866722858421E-2</v>
      </c>
      <c r="G7" s="10">
        <f t="shared" si="0"/>
        <v>0.18477190679356736</v>
      </c>
      <c r="H7" s="10">
        <f t="shared" si="0"/>
        <v>0.16123513117158228</v>
      </c>
      <c r="I7" s="10">
        <f t="shared" si="0"/>
        <v>7.0735985406580992E-2</v>
      </c>
      <c r="J7" s="10">
        <f t="shared" si="0"/>
        <v>0.13645060676748888</v>
      </c>
      <c r="K7" s="10">
        <f t="shared" si="0"/>
        <v>0.18561313683433656</v>
      </c>
    </row>
    <row r="8" spans="1:11" x14ac:dyDescent="0.25">
      <c r="A8" t="s">
        <v>11</v>
      </c>
      <c r="B8" s="3">
        <v>920.92</v>
      </c>
      <c r="C8" s="3">
        <v>1306.3800000000001</v>
      </c>
      <c r="D8" s="3">
        <v>812.73</v>
      </c>
      <c r="E8" s="3">
        <v>826</v>
      </c>
      <c r="F8" s="3">
        <v>1251</v>
      </c>
      <c r="G8" s="3">
        <v>1615</v>
      </c>
      <c r="H8" s="3">
        <v>1536</v>
      </c>
      <c r="I8" s="3">
        <v>1698</v>
      </c>
      <c r="J8" s="3">
        <v>1473</v>
      </c>
      <c r="K8" s="3">
        <v>2072</v>
      </c>
    </row>
    <row r="9" spans="1:11" x14ac:dyDescent="0.25">
      <c r="A9" t="s">
        <v>13</v>
      </c>
      <c r="B9" s="3">
        <v>241.99</v>
      </c>
      <c r="C9" s="3">
        <v>264.88</v>
      </c>
      <c r="D9" s="3">
        <v>210.53</v>
      </c>
      <c r="E9" s="3">
        <v>307</v>
      </c>
      <c r="F9" s="3">
        <v>313</v>
      </c>
      <c r="G9" s="3">
        <v>336</v>
      </c>
      <c r="H9" s="3">
        <v>307</v>
      </c>
      <c r="I9" s="3">
        <v>275</v>
      </c>
      <c r="J9" s="3">
        <v>291</v>
      </c>
      <c r="K9" s="3">
        <v>328</v>
      </c>
    </row>
    <row r="10" spans="1:11" x14ac:dyDescent="0.25">
      <c r="A10" t="s">
        <v>14</v>
      </c>
      <c r="B10" s="3">
        <v>14906.36</v>
      </c>
      <c r="C10" s="3">
        <v>17726.43</v>
      </c>
      <c r="D10" s="3">
        <v>15203.25</v>
      </c>
      <c r="E10" s="3">
        <v>22866</v>
      </c>
      <c r="F10" s="3">
        <v>24729</v>
      </c>
      <c r="G10" s="3">
        <v>29283</v>
      </c>
      <c r="H10" s="3">
        <v>34928</v>
      </c>
      <c r="I10" s="3">
        <v>38853</v>
      </c>
      <c r="J10" s="3">
        <v>46130</v>
      </c>
      <c r="K10" s="3">
        <v>55280</v>
      </c>
    </row>
    <row r="11" spans="1:11" x14ac:dyDescent="0.25">
      <c r="A11" t="s">
        <v>15</v>
      </c>
      <c r="B11" s="3">
        <v>2602.09</v>
      </c>
      <c r="C11" s="3">
        <v>2853.17</v>
      </c>
      <c r="D11" s="3">
        <v>2205.52</v>
      </c>
      <c r="E11" s="3">
        <v>2988</v>
      </c>
      <c r="F11" s="3">
        <v>2810</v>
      </c>
      <c r="G11" s="3">
        <v>3519</v>
      </c>
      <c r="H11" s="3">
        <v>3050</v>
      </c>
      <c r="I11" s="3">
        <v>1681</v>
      </c>
      <c r="J11" s="3">
        <v>1866</v>
      </c>
      <c r="K11" s="3">
        <v>2687</v>
      </c>
    </row>
    <row r="12" spans="1:11" x14ac:dyDescent="0.25">
      <c r="A12" t="s">
        <v>16</v>
      </c>
      <c r="B12" s="3">
        <v>5437.01</v>
      </c>
      <c r="C12" s="3">
        <v>6077.78</v>
      </c>
      <c r="D12" s="3">
        <v>6050.36</v>
      </c>
      <c r="E12" s="3">
        <v>10197</v>
      </c>
      <c r="F12" s="3">
        <v>10220</v>
      </c>
      <c r="G12" s="3">
        <v>11748</v>
      </c>
      <c r="H12" s="3">
        <v>13539</v>
      </c>
      <c r="I12" s="3">
        <v>12824</v>
      </c>
      <c r="J12" s="3">
        <v>15362</v>
      </c>
      <c r="K12" s="3">
        <v>18461</v>
      </c>
    </row>
    <row r="13" spans="1:11" x14ac:dyDescent="0.25">
      <c r="A13" t="s">
        <v>17</v>
      </c>
      <c r="B13" s="3">
        <v>8712.69</v>
      </c>
      <c r="C13" s="3">
        <v>9612.0400000000009</v>
      </c>
      <c r="D13" s="3">
        <v>7524.44</v>
      </c>
      <c r="E13" s="3">
        <v>11459</v>
      </c>
      <c r="F13" s="3">
        <v>12476</v>
      </c>
      <c r="G13" s="3">
        <v>14869</v>
      </c>
      <c r="H13" s="3">
        <v>17905</v>
      </c>
      <c r="I13" s="3">
        <v>20975</v>
      </c>
      <c r="J13" s="3">
        <v>21596</v>
      </c>
      <c r="K13" s="3">
        <v>23986</v>
      </c>
    </row>
    <row r="14" spans="1:11" x14ac:dyDescent="0.25">
      <c r="A14" t="s">
        <v>18</v>
      </c>
      <c r="B14" s="3">
        <v>680.86</v>
      </c>
      <c r="C14" s="3">
        <v>403.75</v>
      </c>
      <c r="D14" s="3">
        <v>409.86</v>
      </c>
      <c r="E14" s="3">
        <v>828</v>
      </c>
      <c r="F14" s="3">
        <v>1383</v>
      </c>
      <c r="G14" s="3">
        <v>2073</v>
      </c>
      <c r="H14" s="3">
        <v>3420</v>
      </c>
      <c r="I14" s="3">
        <v>4611</v>
      </c>
      <c r="J14" s="3">
        <v>4326</v>
      </c>
      <c r="K14" s="3">
        <v>4145</v>
      </c>
    </row>
    <row r="15" spans="1:11" x14ac:dyDescent="0.25">
      <c r="A15" t="s">
        <v>19</v>
      </c>
      <c r="B15" s="3">
        <v>8031.83</v>
      </c>
      <c r="C15" s="3">
        <v>9208.2900000000009</v>
      </c>
      <c r="D15" s="3">
        <v>7114.58</v>
      </c>
      <c r="E15" s="3">
        <v>10631</v>
      </c>
      <c r="F15" s="3">
        <v>11093</v>
      </c>
      <c r="G15" s="3">
        <v>12796</v>
      </c>
      <c r="H15" s="3">
        <v>14485</v>
      </c>
      <c r="I15" s="3">
        <v>16364</v>
      </c>
      <c r="J15" s="3">
        <v>17270</v>
      </c>
      <c r="K15" s="3">
        <v>19841</v>
      </c>
    </row>
    <row r="16" spans="1:11" x14ac:dyDescent="0.25">
      <c r="A16" t="s">
        <v>20</v>
      </c>
      <c r="B16" s="3">
        <v>114.5</v>
      </c>
      <c r="C16" s="3">
        <v>91.23</v>
      </c>
      <c r="D16" s="3">
        <v>73.900000000000006</v>
      </c>
      <c r="E16" s="3">
        <v>89</v>
      </c>
      <c r="F16" s="3">
        <v>69</v>
      </c>
      <c r="G16" s="3">
        <v>174</v>
      </c>
      <c r="H16" s="3">
        <v>505</v>
      </c>
      <c r="I16" s="3">
        <v>511</v>
      </c>
      <c r="J16" s="3">
        <v>319</v>
      </c>
      <c r="K16" s="3">
        <v>353</v>
      </c>
    </row>
    <row r="17" spans="1:11" x14ac:dyDescent="0.25">
      <c r="A17" t="s">
        <v>21</v>
      </c>
      <c r="B17" s="3">
        <v>7917.33</v>
      </c>
      <c r="C17" s="3">
        <v>9117.06</v>
      </c>
      <c r="D17" s="3">
        <v>7040.68</v>
      </c>
      <c r="E17" s="3">
        <v>10542</v>
      </c>
      <c r="F17" s="3">
        <v>11024</v>
      </c>
      <c r="G17" s="3">
        <v>12622</v>
      </c>
      <c r="H17" s="3">
        <v>13980</v>
      </c>
      <c r="I17" s="3">
        <v>15853</v>
      </c>
      <c r="J17" s="3">
        <v>16951</v>
      </c>
      <c r="K17" s="3">
        <v>19488</v>
      </c>
    </row>
    <row r="18" spans="1:11" x14ac:dyDescent="0.25">
      <c r="A18" t="s">
        <v>22</v>
      </c>
      <c r="B18" s="3">
        <v>1407.82</v>
      </c>
      <c r="C18" s="3">
        <v>1799.99</v>
      </c>
      <c r="D18" s="3">
        <v>1438.25</v>
      </c>
      <c r="E18" s="3">
        <v>1936</v>
      </c>
      <c r="F18" s="3">
        <v>2303</v>
      </c>
      <c r="G18" s="3">
        <v>2502</v>
      </c>
      <c r="H18" s="3">
        <v>2923</v>
      </c>
      <c r="I18" s="3">
        <v>4708</v>
      </c>
      <c r="J18" s="3">
        <v>3452</v>
      </c>
      <c r="K18" s="3">
        <v>4637</v>
      </c>
    </row>
    <row r="19" spans="1:11" x14ac:dyDescent="0.25">
      <c r="A19" t="s">
        <v>23</v>
      </c>
      <c r="B19" s="3">
        <v>6509.51</v>
      </c>
      <c r="C19" s="3">
        <v>7317.07</v>
      </c>
      <c r="D19" s="3">
        <v>5602.43</v>
      </c>
      <c r="E19" s="3">
        <v>8606</v>
      </c>
      <c r="F19" s="3">
        <v>8721</v>
      </c>
      <c r="G19" s="3">
        <v>10120</v>
      </c>
      <c r="H19" s="3">
        <v>11057</v>
      </c>
      <c r="I19" s="3">
        <v>11145</v>
      </c>
      <c r="J19" s="3">
        <v>13499</v>
      </c>
      <c r="K19" s="3">
        <v>14851</v>
      </c>
    </row>
    <row r="20" spans="1:1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t="s">
        <v>24</v>
      </c>
      <c r="B21" s="3">
        <v>23.3</v>
      </c>
      <c r="C21" s="3">
        <v>26.08</v>
      </c>
      <c r="D21" s="3">
        <v>19.89</v>
      </c>
      <c r="E21" s="3">
        <v>30.33</v>
      </c>
      <c r="F21" s="3">
        <v>30.94</v>
      </c>
      <c r="G21" s="3">
        <v>36.82</v>
      </c>
      <c r="H21" s="3">
        <v>40.75</v>
      </c>
      <c r="I21" s="3">
        <v>41.07</v>
      </c>
      <c r="J21" s="3">
        <v>49.74</v>
      </c>
      <c r="K21" s="3">
        <v>54.73</v>
      </c>
    </row>
    <row r="22" spans="1:11" x14ac:dyDescent="0.25">
      <c r="A22" t="s">
        <v>25</v>
      </c>
      <c r="B22" s="3">
        <v>2.5</v>
      </c>
      <c r="C22" s="3">
        <v>15</v>
      </c>
      <c r="D22" s="3">
        <v>8</v>
      </c>
      <c r="E22" s="3">
        <v>12</v>
      </c>
      <c r="F22" s="3">
        <v>6</v>
      </c>
      <c r="G22" s="3">
        <v>4</v>
      </c>
      <c r="H22" s="3">
        <v>10</v>
      </c>
      <c r="I22" s="3">
        <v>10</v>
      </c>
      <c r="J22" s="3">
        <v>42</v>
      </c>
      <c r="K22" s="3">
        <v>48</v>
      </c>
    </row>
    <row r="23" spans="1:11" x14ac:dyDescent="0.25">
      <c r="A23" t="s">
        <v>26</v>
      </c>
      <c r="B23" s="8">
        <v>0.11</v>
      </c>
      <c r="C23" s="8">
        <v>0.57999999999999996</v>
      </c>
      <c r="D23" s="8">
        <v>0.4</v>
      </c>
      <c r="E23" s="8">
        <v>0.4</v>
      </c>
      <c r="F23" s="8">
        <v>0.19</v>
      </c>
      <c r="G23" s="8">
        <v>0.11</v>
      </c>
      <c r="H23" s="8">
        <v>0.25</v>
      </c>
      <c r="I23" s="8">
        <v>0.24</v>
      </c>
      <c r="J23" s="8">
        <v>0.84</v>
      </c>
      <c r="K23" s="8">
        <v>0.88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5"/>
  <sheetViews>
    <sheetView workbookViewId="0">
      <selection activeCell="C6" sqref="C6"/>
    </sheetView>
  </sheetViews>
  <sheetFormatPr defaultRowHeight="15" x14ac:dyDescent="0.25"/>
  <cols>
    <col min="1" max="1" width="36.28515625" bestFit="1" customWidth="1"/>
    <col min="2" max="11" width="10.140625" bestFit="1" customWidth="1"/>
  </cols>
  <sheetData>
    <row r="2" spans="1:11" x14ac:dyDescent="0.25">
      <c r="A2" t="s">
        <v>63</v>
      </c>
    </row>
    <row r="5" spans="1:11" x14ac:dyDescent="0.25">
      <c r="A5" s="1" t="s">
        <v>65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t="s">
        <v>27</v>
      </c>
      <c r="B6" s="3">
        <v>9413.59</v>
      </c>
      <c r="C6" s="3">
        <v>10548.81</v>
      </c>
      <c r="D6" s="3">
        <v>9871.07</v>
      </c>
      <c r="E6" s="3">
        <v>10190</v>
      </c>
      <c r="F6" s="3">
        <v>6375</v>
      </c>
      <c r="G6" s="3">
        <v>10092</v>
      </c>
      <c r="H6" s="3">
        <v>11965</v>
      </c>
      <c r="I6" s="3">
        <v>15661</v>
      </c>
      <c r="J6" s="3">
        <v>18875</v>
      </c>
      <c r="K6" s="3">
        <v>20109</v>
      </c>
    </row>
    <row r="7" spans="1:11" x14ac:dyDescent="0.25">
      <c r="A7" t="s">
        <v>28</v>
      </c>
      <c r="B7" s="3">
        <v>5682.84</v>
      </c>
      <c r="C7" s="3">
        <v>6538.69</v>
      </c>
      <c r="D7" s="3">
        <v>7721.14</v>
      </c>
      <c r="E7" s="3">
        <v>8301</v>
      </c>
      <c r="F7" s="3">
        <v>9639</v>
      </c>
      <c r="G7" s="3">
        <v>11706</v>
      </c>
      <c r="H7" s="3">
        <v>14131</v>
      </c>
      <c r="I7" s="3">
        <v>17525</v>
      </c>
      <c r="J7" s="3">
        <v>20671</v>
      </c>
      <c r="K7" s="3">
        <v>25506</v>
      </c>
    </row>
    <row r="8" spans="1:11" x14ac:dyDescent="0.25">
      <c r="A8" t="s">
        <v>29</v>
      </c>
      <c r="B8" s="3">
        <v>122.3</v>
      </c>
      <c r="C8" s="3">
        <v>157.61000000000001</v>
      </c>
      <c r="D8" s="3">
        <v>264.48</v>
      </c>
      <c r="E8" s="3">
        <v>276</v>
      </c>
      <c r="F8" s="3">
        <v>172</v>
      </c>
      <c r="G8" s="3">
        <v>91</v>
      </c>
      <c r="H8" s="3">
        <v>91</v>
      </c>
      <c r="I8" s="3">
        <v>94</v>
      </c>
      <c r="J8" s="3">
        <v>161</v>
      </c>
      <c r="K8" s="3">
        <v>228</v>
      </c>
    </row>
    <row r="9" spans="1:11" x14ac:dyDescent="0.25">
      <c r="A9" t="s">
        <v>30</v>
      </c>
      <c r="B9" s="3">
        <v>4110.8999999999996</v>
      </c>
      <c r="C9" s="3">
        <v>5801.69</v>
      </c>
      <c r="D9" s="3">
        <v>7125.01</v>
      </c>
      <c r="E9" s="3">
        <v>7696</v>
      </c>
      <c r="F9" s="3">
        <v>8372</v>
      </c>
      <c r="G9" s="3">
        <v>7833</v>
      </c>
      <c r="H9" s="3">
        <v>12233</v>
      </c>
      <c r="I9" s="3">
        <v>9771</v>
      </c>
      <c r="J9" s="3">
        <v>8334</v>
      </c>
      <c r="K9" s="3">
        <v>7734</v>
      </c>
    </row>
    <row r="10" spans="1:11" x14ac:dyDescent="0.25">
      <c r="A10" t="s">
        <v>31</v>
      </c>
      <c r="B10" s="3">
        <v>19329.63</v>
      </c>
      <c r="C10" s="3">
        <v>23046.799999999999</v>
      </c>
      <c r="D10" s="3">
        <v>24981.7</v>
      </c>
      <c r="E10" s="3">
        <v>26463</v>
      </c>
      <c r="F10" s="3">
        <v>24558</v>
      </c>
      <c r="G10" s="3">
        <v>29722</v>
      </c>
      <c r="H10" s="3">
        <v>38420</v>
      </c>
      <c r="I10" s="3">
        <v>43051</v>
      </c>
      <c r="J10" s="3">
        <v>48041</v>
      </c>
      <c r="K10" s="3">
        <v>53577</v>
      </c>
    </row>
    <row r="11" spans="1:11" x14ac:dyDescent="0.25">
      <c r="A11" t="s">
        <v>32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  <c r="K11" s="3" t="s">
        <v>12</v>
      </c>
    </row>
    <row r="12" spans="1:11" x14ac:dyDescent="0.25">
      <c r="A12" t="s">
        <v>33</v>
      </c>
      <c r="B12" s="3">
        <v>3272.25</v>
      </c>
      <c r="C12" s="3">
        <v>4026.16</v>
      </c>
      <c r="D12" s="3">
        <v>4446.1499999999996</v>
      </c>
      <c r="E12" s="3">
        <v>4979</v>
      </c>
      <c r="F12" s="3">
        <v>5472</v>
      </c>
      <c r="G12" s="3">
        <v>6328</v>
      </c>
      <c r="H12" s="3">
        <v>15210</v>
      </c>
      <c r="I12" s="3">
        <v>14129</v>
      </c>
      <c r="J12" s="3">
        <v>12735</v>
      </c>
      <c r="K12" s="3">
        <v>11840</v>
      </c>
    </row>
    <row r="13" spans="1:11" x14ac:dyDescent="0.25">
      <c r="A13" t="s">
        <v>34</v>
      </c>
      <c r="B13" s="3">
        <v>4702.6400000000003</v>
      </c>
      <c r="C13" s="3">
        <v>4800.63</v>
      </c>
      <c r="D13" s="3">
        <v>5880.84</v>
      </c>
      <c r="E13" s="3">
        <v>10704</v>
      </c>
      <c r="F13" s="3">
        <v>13601</v>
      </c>
      <c r="G13" s="3">
        <v>16795</v>
      </c>
      <c r="H13" s="3">
        <v>22680</v>
      </c>
      <c r="I13" s="3">
        <v>23328</v>
      </c>
      <c r="J13" s="3">
        <v>22471</v>
      </c>
      <c r="K13" s="3">
        <v>22819</v>
      </c>
    </row>
    <row r="14" spans="1:11" x14ac:dyDescent="0.25">
      <c r="A14" t="s">
        <v>35</v>
      </c>
      <c r="B14" s="3">
        <v>55.4</v>
      </c>
      <c r="C14" s="3">
        <v>106.81</v>
      </c>
      <c r="D14" s="3">
        <v>161.91</v>
      </c>
      <c r="E14" s="3">
        <v>160</v>
      </c>
      <c r="F14" s="3">
        <v>303</v>
      </c>
      <c r="G14" s="3">
        <v>85</v>
      </c>
      <c r="H14" s="3">
        <v>77</v>
      </c>
      <c r="I14" s="3">
        <v>89</v>
      </c>
      <c r="J14" s="3">
        <v>112</v>
      </c>
      <c r="K14" s="3">
        <v>110</v>
      </c>
    </row>
    <row r="15" spans="1:11" x14ac:dyDescent="0.25">
      <c r="A15" t="s">
        <v>36</v>
      </c>
      <c r="B15" s="3">
        <v>814.96</v>
      </c>
      <c r="C15" s="3">
        <v>789.71</v>
      </c>
      <c r="D15" s="3">
        <v>1811.09</v>
      </c>
      <c r="E15" s="3">
        <v>1652</v>
      </c>
      <c r="F15" s="3">
        <v>1803</v>
      </c>
      <c r="G15" s="3">
        <v>2229</v>
      </c>
      <c r="H15" s="3">
        <v>2230</v>
      </c>
      <c r="I15" s="3">
        <v>1034</v>
      </c>
      <c r="J15" s="3">
        <v>1064</v>
      </c>
      <c r="K15" s="3">
        <v>1091</v>
      </c>
    </row>
    <row r="16" spans="1:11" x14ac:dyDescent="0.25">
      <c r="A16" t="s">
        <v>37</v>
      </c>
      <c r="B16" s="3">
        <v>1804.81</v>
      </c>
      <c r="C16" s="3">
        <v>2474.56</v>
      </c>
      <c r="D16" s="3">
        <v>2058.91</v>
      </c>
      <c r="E16" s="3">
        <v>1804</v>
      </c>
      <c r="F16" s="3">
        <v>2252</v>
      </c>
      <c r="G16" s="3">
        <v>3190</v>
      </c>
      <c r="H16" s="3">
        <v>4202</v>
      </c>
      <c r="I16" s="3">
        <v>4416</v>
      </c>
      <c r="J16" s="3">
        <v>4498</v>
      </c>
      <c r="K16" s="3">
        <v>3813</v>
      </c>
    </row>
    <row r="17" spans="1:11" x14ac:dyDescent="0.25">
      <c r="A17" t="s">
        <v>38</v>
      </c>
      <c r="B17" s="3">
        <v>10650.06</v>
      </c>
      <c r="C17" s="3">
        <v>12197.87</v>
      </c>
      <c r="D17" s="3">
        <v>14358.9</v>
      </c>
      <c r="E17" s="3">
        <v>19299</v>
      </c>
      <c r="F17" s="3">
        <v>23431</v>
      </c>
      <c r="G17" s="3">
        <v>28627</v>
      </c>
      <c r="H17" s="3">
        <v>44399</v>
      </c>
      <c r="I17" s="3">
        <v>42996</v>
      </c>
      <c r="J17" s="3">
        <v>40880</v>
      </c>
      <c r="K17" s="3">
        <v>39673</v>
      </c>
    </row>
    <row r="18" spans="1:11" x14ac:dyDescent="0.25">
      <c r="A18" t="s">
        <v>39</v>
      </c>
      <c r="B18" s="3">
        <v>29979.69</v>
      </c>
      <c r="C18" s="3">
        <v>35244.67</v>
      </c>
      <c r="D18" s="3">
        <v>39340.6</v>
      </c>
      <c r="E18" s="3">
        <v>45762</v>
      </c>
      <c r="F18" s="3">
        <v>47989</v>
      </c>
      <c r="G18" s="3">
        <v>58349</v>
      </c>
      <c r="H18" s="3">
        <v>82819</v>
      </c>
      <c r="I18" s="3">
        <v>86047</v>
      </c>
      <c r="J18" s="3">
        <v>88921</v>
      </c>
      <c r="K18" s="3">
        <v>93250</v>
      </c>
    </row>
    <row r="19" spans="1:11" x14ac:dyDescent="0.25">
      <c r="A19" t="s">
        <v>40</v>
      </c>
      <c r="B19" s="3">
        <v>1264.43</v>
      </c>
      <c r="C19" s="3">
        <v>1409.45</v>
      </c>
      <c r="D19" s="3">
        <v>1277.8599999999999</v>
      </c>
      <c r="E19" s="3">
        <v>2853</v>
      </c>
      <c r="F19" s="3">
        <v>2001</v>
      </c>
      <c r="G19" s="3">
        <v>1954</v>
      </c>
      <c r="H19" s="3">
        <v>1807</v>
      </c>
      <c r="I19" s="3">
        <v>6091</v>
      </c>
      <c r="J19" s="3">
        <v>6901</v>
      </c>
      <c r="K19" s="3">
        <v>6875</v>
      </c>
    </row>
    <row r="20" spans="1:11" x14ac:dyDescent="0.25">
      <c r="A20" t="s">
        <v>41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</row>
    <row r="21" spans="1:11" x14ac:dyDescent="0.25">
      <c r="A21" t="s">
        <v>42</v>
      </c>
      <c r="B21" s="3">
        <v>7977.35</v>
      </c>
      <c r="C21" s="3">
        <v>8535.6</v>
      </c>
      <c r="D21" s="3">
        <v>8550.59</v>
      </c>
      <c r="E21" s="3">
        <v>8482</v>
      </c>
      <c r="F21" s="3">
        <v>8106</v>
      </c>
      <c r="G21" s="3">
        <v>10345</v>
      </c>
      <c r="H21" s="3">
        <v>21923</v>
      </c>
      <c r="I21" s="3">
        <v>11292</v>
      </c>
      <c r="J21" s="3">
        <v>11874</v>
      </c>
      <c r="K21" s="3">
        <v>14556</v>
      </c>
    </row>
    <row r="22" spans="1:11" x14ac:dyDescent="0.25">
      <c r="A22" t="s">
        <v>43</v>
      </c>
      <c r="B22" s="3">
        <v>9241.7800000000007</v>
      </c>
      <c r="C22" s="3">
        <v>9945.0499999999993</v>
      </c>
      <c r="D22" s="3">
        <v>9828.4500000000007</v>
      </c>
      <c r="E22" s="3">
        <v>11335</v>
      </c>
      <c r="F22" s="3">
        <v>10107</v>
      </c>
      <c r="G22" s="3">
        <v>12299</v>
      </c>
      <c r="H22" s="3">
        <v>23730</v>
      </c>
      <c r="I22" s="3">
        <v>17383</v>
      </c>
      <c r="J22" s="3">
        <v>18775</v>
      </c>
      <c r="K22" s="3">
        <v>21431</v>
      </c>
    </row>
    <row r="23" spans="1:11" x14ac:dyDescent="0.25">
      <c r="A23" t="s">
        <v>44</v>
      </c>
      <c r="B23" s="3">
        <v>200.64</v>
      </c>
      <c r="C23" s="3">
        <v>167.89</v>
      </c>
      <c r="D23" s="3">
        <v>737.4</v>
      </c>
      <c r="E23" s="3">
        <v>383</v>
      </c>
      <c r="F23" s="3">
        <v>338</v>
      </c>
      <c r="G23" s="3">
        <v>2977</v>
      </c>
      <c r="H23" s="3">
        <v>5027</v>
      </c>
      <c r="I23" s="3">
        <v>5731</v>
      </c>
      <c r="J23" s="3">
        <v>5582</v>
      </c>
      <c r="K23" s="3">
        <v>3775</v>
      </c>
    </row>
    <row r="24" spans="1:11" x14ac:dyDescent="0.25">
      <c r="A24" t="s">
        <v>45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</row>
    <row r="25" spans="1:11" x14ac:dyDescent="0.25">
      <c r="A25" t="s">
        <v>46</v>
      </c>
      <c r="B25" s="3">
        <v>930.11</v>
      </c>
      <c r="C25" s="3">
        <v>825.21</v>
      </c>
      <c r="D25" s="3">
        <v>1173.32</v>
      </c>
      <c r="E25" s="3">
        <v>922</v>
      </c>
      <c r="F25" s="3">
        <v>1158</v>
      </c>
      <c r="G25" s="3">
        <v>1604</v>
      </c>
      <c r="H25" s="3">
        <v>2641</v>
      </c>
      <c r="I25" s="3">
        <v>2851</v>
      </c>
      <c r="J25" s="3">
        <v>2558</v>
      </c>
      <c r="K25" s="3">
        <v>2646</v>
      </c>
    </row>
    <row r="26" spans="1:11" x14ac:dyDescent="0.25">
      <c r="A26" t="s">
        <v>47</v>
      </c>
      <c r="B26" s="3">
        <v>1130.75</v>
      </c>
      <c r="C26" s="3">
        <v>993.1</v>
      </c>
      <c r="D26" s="3">
        <v>1910.72</v>
      </c>
      <c r="E26" s="3">
        <v>1305</v>
      </c>
      <c r="F26" s="3">
        <v>1496</v>
      </c>
      <c r="G26" s="3">
        <v>4581</v>
      </c>
      <c r="H26" s="3">
        <v>7668</v>
      </c>
      <c r="I26" s="3">
        <v>8582</v>
      </c>
      <c r="J26" s="3">
        <v>8140</v>
      </c>
      <c r="K26" s="3">
        <v>6421</v>
      </c>
    </row>
    <row r="27" spans="1:11" x14ac:dyDescent="0.25">
      <c r="A27" t="s">
        <v>48</v>
      </c>
      <c r="B27" s="3">
        <v>10372.530000000001</v>
      </c>
      <c r="C27" s="3">
        <v>10938.15</v>
      </c>
      <c r="D27" s="3">
        <v>11739.17</v>
      </c>
      <c r="E27" s="3">
        <v>12640</v>
      </c>
      <c r="F27" s="3">
        <v>11603</v>
      </c>
      <c r="G27" s="3">
        <v>16880</v>
      </c>
      <c r="H27" s="3">
        <v>31398</v>
      </c>
      <c r="I27" s="3">
        <v>25965</v>
      </c>
      <c r="J27" s="3">
        <v>26915</v>
      </c>
      <c r="K27" s="3">
        <v>27852</v>
      </c>
    </row>
    <row r="28" spans="1:11" x14ac:dyDescent="0.25">
      <c r="A28" t="s">
        <v>49</v>
      </c>
      <c r="B28" s="3">
        <v>140</v>
      </c>
      <c r="C28" s="3">
        <v>281.2</v>
      </c>
      <c r="D28" s="3">
        <v>282.08</v>
      </c>
      <c r="E28" s="3">
        <v>285</v>
      </c>
      <c r="F28" s="3">
        <v>278</v>
      </c>
      <c r="G28" s="3">
        <v>271</v>
      </c>
      <c r="H28" s="3">
        <v>543</v>
      </c>
      <c r="I28" s="3">
        <v>543</v>
      </c>
      <c r="J28" s="3">
        <v>543</v>
      </c>
      <c r="K28" s="3">
        <v>543</v>
      </c>
    </row>
    <row r="29" spans="1:11" x14ac:dyDescent="0.25">
      <c r="A29" t="s">
        <v>50</v>
      </c>
      <c r="B29" s="3">
        <v>1933.97</v>
      </c>
      <c r="C29" s="3">
        <v>1881.21</v>
      </c>
      <c r="D29" s="3">
        <v>1963.01</v>
      </c>
      <c r="E29" s="3">
        <v>3244</v>
      </c>
      <c r="F29" s="3">
        <v>5</v>
      </c>
      <c r="G29" s="3">
        <v>2</v>
      </c>
      <c r="H29" s="3">
        <v>7</v>
      </c>
      <c r="I29" s="3">
        <v>7</v>
      </c>
      <c r="J29" s="3">
        <v>7</v>
      </c>
      <c r="K29" s="3">
        <v>7</v>
      </c>
    </row>
    <row r="30" spans="1:11" x14ac:dyDescent="0.25">
      <c r="A30" t="s">
        <v>51</v>
      </c>
      <c r="B30" s="3">
        <v>17468.21</v>
      </c>
      <c r="C30" s="3">
        <v>22061.98</v>
      </c>
      <c r="D30" s="3">
        <v>25145.63</v>
      </c>
      <c r="E30" s="3">
        <v>29420</v>
      </c>
      <c r="F30" s="3">
        <v>36103</v>
      </c>
      <c r="G30" s="3">
        <v>41093</v>
      </c>
      <c r="H30" s="3">
        <v>50717</v>
      </c>
      <c r="I30" s="3">
        <v>59363</v>
      </c>
      <c r="J30" s="3">
        <v>61364</v>
      </c>
      <c r="K30" s="3">
        <v>64855</v>
      </c>
    </row>
    <row r="31" spans="1:11" x14ac:dyDescent="0.25">
      <c r="A31" t="s">
        <v>52</v>
      </c>
      <c r="B31" s="3">
        <v>57.33</v>
      </c>
      <c r="C31" s="3">
        <v>82.11</v>
      </c>
      <c r="D31" s="3">
        <v>210.66</v>
      </c>
      <c r="E31" s="3">
        <v>173</v>
      </c>
      <c r="F31" s="3">
        <v>0</v>
      </c>
      <c r="G31" s="3">
        <v>103</v>
      </c>
      <c r="H31" s="3">
        <v>154</v>
      </c>
      <c r="I31" s="3">
        <v>169</v>
      </c>
      <c r="J31" s="3">
        <v>92</v>
      </c>
      <c r="K31" s="3">
        <v>-7</v>
      </c>
    </row>
    <row r="32" spans="1:11" x14ac:dyDescent="0.25">
      <c r="A32" t="s">
        <v>53</v>
      </c>
      <c r="B32" s="3">
        <v>7.65</v>
      </c>
      <c r="C32" s="3">
        <v>0.02</v>
      </c>
      <c r="D32" s="3">
        <v>0.05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 x14ac:dyDescent="0.25">
      <c r="A33" t="s">
        <v>54</v>
      </c>
      <c r="B33" s="3">
        <v>19607.16</v>
      </c>
      <c r="C33" s="3">
        <v>24306.52</v>
      </c>
      <c r="D33" s="3">
        <v>27601.43</v>
      </c>
      <c r="E33" s="3">
        <v>33122</v>
      </c>
      <c r="F33" s="3">
        <v>36386</v>
      </c>
      <c r="G33" s="3">
        <v>41469</v>
      </c>
      <c r="H33" s="3">
        <v>51421</v>
      </c>
      <c r="I33" s="3">
        <v>60082</v>
      </c>
      <c r="J33" s="3">
        <v>62006</v>
      </c>
      <c r="K33" s="3">
        <v>65398</v>
      </c>
    </row>
    <row r="34" spans="1:11" x14ac:dyDescent="0.25">
      <c r="A34" t="s">
        <v>55</v>
      </c>
      <c r="B34" s="3">
        <v>29979.69</v>
      </c>
      <c r="C34" s="3">
        <v>35244.67</v>
      </c>
      <c r="D34" s="3">
        <v>39340.6</v>
      </c>
      <c r="E34" s="3">
        <v>45762</v>
      </c>
      <c r="F34" s="3">
        <v>47989</v>
      </c>
      <c r="G34" s="3">
        <v>58349</v>
      </c>
      <c r="H34" s="3">
        <v>82819</v>
      </c>
      <c r="I34" s="3">
        <v>86047</v>
      </c>
      <c r="J34" s="3">
        <v>88921</v>
      </c>
      <c r="K34" s="3">
        <v>93250</v>
      </c>
    </row>
    <row r="35" spans="1:1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"/>
  <sheetViews>
    <sheetView workbookViewId="0">
      <selection activeCell="D11" sqref="D11"/>
    </sheetView>
  </sheetViews>
  <sheetFormatPr defaultRowHeight="15" x14ac:dyDescent="0.25"/>
  <cols>
    <col min="1" max="1" width="42.28515625" bestFit="1" customWidth="1"/>
    <col min="2" max="7" width="9.7109375" bestFit="1" customWidth="1"/>
    <col min="8" max="11" width="10.7109375" bestFit="1" customWidth="1"/>
  </cols>
  <sheetData>
    <row r="2" spans="1:11" x14ac:dyDescent="0.25">
      <c r="A2" t="s">
        <v>63</v>
      </c>
    </row>
    <row r="5" spans="1:11" x14ac:dyDescent="0.25">
      <c r="A5" s="1" t="s">
        <v>66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t="s">
        <v>56</v>
      </c>
      <c r="B6" s="3">
        <v>6456.78</v>
      </c>
      <c r="C6" s="3">
        <v>5539.2</v>
      </c>
      <c r="D6" s="3">
        <v>3822.62</v>
      </c>
      <c r="E6" s="3">
        <v>8995</v>
      </c>
      <c r="F6" s="3">
        <v>8328</v>
      </c>
      <c r="G6" s="3">
        <v>8971</v>
      </c>
      <c r="H6" s="3">
        <v>13359</v>
      </c>
      <c r="I6" s="3">
        <v>19618</v>
      </c>
      <c r="J6" s="3">
        <v>16900</v>
      </c>
      <c r="K6" s="3">
        <v>18009</v>
      </c>
    </row>
    <row r="7" spans="1:11" x14ac:dyDescent="0.25">
      <c r="A7" t="s">
        <v>57</v>
      </c>
      <c r="B7" s="3">
        <v>-4842.28</v>
      </c>
      <c r="C7" s="3">
        <v>-2087.5700000000002</v>
      </c>
      <c r="D7" s="3">
        <v>-2208.4299999999998</v>
      </c>
      <c r="E7" s="3">
        <v>-3890</v>
      </c>
      <c r="F7" s="3">
        <v>-2236</v>
      </c>
      <c r="G7" s="3">
        <v>-3256</v>
      </c>
      <c r="H7" s="3">
        <v>-12332</v>
      </c>
      <c r="I7" s="3">
        <v>-5665</v>
      </c>
      <c r="J7" s="3">
        <v>1597</v>
      </c>
      <c r="K7" s="3">
        <v>-3573</v>
      </c>
    </row>
    <row r="8" spans="1:11" x14ac:dyDescent="0.25">
      <c r="A8" t="s">
        <v>58</v>
      </c>
      <c r="B8" s="3">
        <v>-1307.97</v>
      </c>
      <c r="C8" s="3">
        <v>-3140.34</v>
      </c>
      <c r="D8" s="3">
        <v>-2237.09</v>
      </c>
      <c r="E8" s="3">
        <v>-4517</v>
      </c>
      <c r="F8" s="3">
        <v>-5714</v>
      </c>
      <c r="G8" s="3">
        <v>-1471</v>
      </c>
      <c r="H8" s="3">
        <v>-3168</v>
      </c>
      <c r="I8" s="3">
        <v>-11192</v>
      </c>
      <c r="J8" s="3">
        <v>-14508</v>
      </c>
      <c r="K8" s="3">
        <v>-15881</v>
      </c>
    </row>
    <row r="9" spans="1:11" x14ac:dyDescent="0.25">
      <c r="A9" t="s">
        <v>59</v>
      </c>
      <c r="B9" s="3">
        <v>306.52999999999997</v>
      </c>
      <c r="C9" s="3">
        <v>311.29000000000002</v>
      </c>
      <c r="D9" s="3">
        <v>-622.9</v>
      </c>
      <c r="E9" s="3">
        <v>588</v>
      </c>
      <c r="F9" s="3">
        <v>378</v>
      </c>
      <c r="G9" s="3">
        <v>4244</v>
      </c>
      <c r="H9" s="3">
        <v>-2141</v>
      </c>
      <c r="I9" s="3">
        <v>2761</v>
      </c>
      <c r="J9" s="3">
        <v>3989</v>
      </c>
      <c r="K9" s="3">
        <v>-1445</v>
      </c>
    </row>
    <row r="10" spans="1:11" x14ac:dyDescent="0.25">
      <c r="A10" t="s">
        <v>60</v>
      </c>
      <c r="B10" s="3">
        <v>-1689.02</v>
      </c>
      <c r="C10" s="3">
        <v>-2962.5</v>
      </c>
      <c r="D10" s="3">
        <v>-2911.97</v>
      </c>
      <c r="E10" s="3">
        <v>-1686</v>
      </c>
      <c r="F10" s="3">
        <v>-3590</v>
      </c>
      <c r="G10" s="3">
        <v>-5087</v>
      </c>
      <c r="H10" s="3">
        <v>-4118</v>
      </c>
      <c r="I10" s="3">
        <v>-404</v>
      </c>
      <c r="J10" s="3">
        <v>-3992</v>
      </c>
      <c r="K10" s="3">
        <v>-5003</v>
      </c>
    </row>
    <row r="11" spans="1:11" x14ac:dyDescent="0.25">
      <c r="A11" t="s">
        <v>61</v>
      </c>
      <c r="B11" s="3">
        <v>719.56</v>
      </c>
      <c r="C11" s="3">
        <v>1208.1600000000001</v>
      </c>
      <c r="D11" s="3">
        <v>941.84</v>
      </c>
      <c r="E11" s="3">
        <v>3921</v>
      </c>
      <c r="F11" s="3">
        <v>5344</v>
      </c>
      <c r="G11" s="3">
        <v>3465</v>
      </c>
      <c r="H11" s="3">
        <v>1866</v>
      </c>
      <c r="I11" s="3">
        <v>1904</v>
      </c>
      <c r="J11" s="3">
        <v>1645</v>
      </c>
      <c r="K11" s="3">
        <v>1661</v>
      </c>
    </row>
    <row r="12" spans="1:11" x14ac:dyDescent="0.25">
      <c r="A12" t="s">
        <v>62</v>
      </c>
      <c r="B12" s="3">
        <v>5737.22</v>
      </c>
      <c r="C12" s="3">
        <v>4331.04</v>
      </c>
      <c r="D12" s="3">
        <v>2880.78</v>
      </c>
      <c r="E12" s="3">
        <v>5074</v>
      </c>
      <c r="F12" s="3">
        <v>2984</v>
      </c>
      <c r="G12" s="3">
        <v>5506</v>
      </c>
      <c r="H12" s="3">
        <v>11493</v>
      </c>
      <c r="I12" s="3">
        <v>17714</v>
      </c>
      <c r="J12" s="3">
        <v>15255</v>
      </c>
      <c r="K12" s="3">
        <v>16348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13FB-0100-42D7-AAA0-D82B5B29D035}">
  <dimension ref="A2:K33"/>
  <sheetViews>
    <sheetView workbookViewId="0">
      <selection activeCell="P7" sqref="P7"/>
    </sheetView>
  </sheetViews>
  <sheetFormatPr defaultRowHeight="15" x14ac:dyDescent="0.25"/>
  <cols>
    <col min="1" max="1" width="25.5703125" customWidth="1"/>
    <col min="3" max="3" width="9" bestFit="1" customWidth="1"/>
    <col min="4" max="4" width="9.5703125" bestFit="1" customWidth="1"/>
    <col min="5" max="11" width="9" bestFit="1" customWidth="1"/>
  </cols>
  <sheetData>
    <row r="2" spans="1:11" x14ac:dyDescent="0.25">
      <c r="A2" s="1" t="s">
        <v>67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25">
      <c r="A3" t="s">
        <v>68</v>
      </c>
      <c r="B3" s="4">
        <f>IS!B13/IS!B6</f>
        <v>0.26546034771576549</v>
      </c>
      <c r="C3" s="4">
        <f>IS!C13/IS!C6</f>
        <v>0.2540134056787563</v>
      </c>
      <c r="D3" s="4">
        <f>IS!D13/IS!D6</f>
        <v>0.23508857328263996</v>
      </c>
      <c r="E3" s="4">
        <f>IS!E13/IS!E6</f>
        <v>0.23557346380774213</v>
      </c>
      <c r="F3" s="4">
        <f>IS!F13/IS!F6</f>
        <v>0.24085407054190236</v>
      </c>
      <c r="G3" s="4">
        <f>IS!G13/IS!G6</f>
        <v>0.24228450382923253</v>
      </c>
      <c r="H3" s="4">
        <f>IS!H13/IS!H6</f>
        <v>0.25124535185574964</v>
      </c>
      <c r="I3" s="4">
        <f>IS!I13/IS!I6</f>
        <v>0.27488008806646924</v>
      </c>
      <c r="J3" s="4">
        <f>IS!J13/IS!J6</f>
        <v>0.24903710878940935</v>
      </c>
      <c r="K3" s="4">
        <f>IS!K13/IS!K6</f>
        <v>0.23329507654599568</v>
      </c>
    </row>
    <row r="4" spans="1:11" x14ac:dyDescent="0.25">
      <c r="A4" t="s">
        <v>69</v>
      </c>
      <c r="B4" s="4">
        <f>IS!B15/IS!B6</f>
        <v>0.24471574044226482</v>
      </c>
      <c r="C4" s="4">
        <f>IS!C15/IS!C6</f>
        <v>0.24334367141393867</v>
      </c>
      <c r="D4" s="4">
        <f>IS!D15/IS!D6</f>
        <v>0.22228318143346279</v>
      </c>
      <c r="E4" s="4">
        <f>IS!E15/IS!E6</f>
        <v>0.2185514873671443</v>
      </c>
      <c r="F4" s="4">
        <f>IS!F15/IS!F6</f>
        <v>0.21415471341145581</v>
      </c>
      <c r="G4" s="4">
        <f>IS!G15/IS!G6</f>
        <v>0.20850578458530228</v>
      </c>
      <c r="H4" s="4">
        <f>IS!H15/IS!H6</f>
        <v>0.20325545499193151</v>
      </c>
      <c r="I4" s="4">
        <f>IS!I15/IS!I6</f>
        <v>0.21445233664456267</v>
      </c>
      <c r="J4" s="4">
        <f>IS!J15/IS!J6</f>
        <v>0.19915127193892848</v>
      </c>
      <c r="K4" s="4">
        <f>IS!K15/IS!K6</f>
        <v>0.19297955531347871</v>
      </c>
    </row>
    <row r="5" spans="1:11" x14ac:dyDescent="0.25">
      <c r="A5" t="s">
        <v>70</v>
      </c>
      <c r="B5" s="4">
        <f>IS!B17/IS!B6</f>
        <v>0.24122712672899657</v>
      </c>
      <c r="C5" s="4">
        <f>IS!C17/IS!C6</f>
        <v>0.24093277393535209</v>
      </c>
      <c r="D5" s="4">
        <f>IS!D17/IS!D6</f>
        <v>0.21997429923550693</v>
      </c>
      <c r="E5" s="4">
        <f>IS!E17/IS!E6</f>
        <v>0.21672183047920565</v>
      </c>
      <c r="F5" s="4">
        <f>IS!F17/IS!F6</f>
        <v>0.21282264136373288</v>
      </c>
      <c r="G5" s="4">
        <f>IS!G17/IS!G6</f>
        <v>0.20567052305686817</v>
      </c>
      <c r="H5" s="4">
        <f>IS!H17/IS!H6</f>
        <v>0.1961692275310461</v>
      </c>
      <c r="I5" s="4">
        <f>IS!I17/IS!I6</f>
        <v>0.20775561554792546</v>
      </c>
      <c r="J5" s="4">
        <f>IS!J17/IS!J6</f>
        <v>0.19547268156553427</v>
      </c>
      <c r="K5" s="4">
        <f>IS!K17/IS!K6</f>
        <v>0.18954617075495556</v>
      </c>
    </row>
    <row r="6" spans="1:11" x14ac:dyDescent="0.25">
      <c r="A6" t="s">
        <v>71</v>
      </c>
      <c r="B6" s="4">
        <f>IS!B19/IS!B6</f>
        <v>0.19833332622407687</v>
      </c>
      <c r="C6" s="4">
        <f>IS!C19/IS!C6</f>
        <v>0.19336518265527997</v>
      </c>
      <c r="D6" s="4">
        <f>IS!D19/IS!D6</f>
        <v>0.1750385777035714</v>
      </c>
      <c r="E6" s="4">
        <f>IS!E19/IS!E6</f>
        <v>0.17692165368089963</v>
      </c>
      <c r="F6" s="4">
        <f>IS!F19/IS!F6</f>
        <v>0.16836232359698064</v>
      </c>
      <c r="G6" s="4">
        <f>IS!G19/IS!G6</f>
        <v>0.16490141763076421</v>
      </c>
      <c r="H6" s="4">
        <f>IS!H19/IS!H6</f>
        <v>0.1551533010594261</v>
      </c>
      <c r="I6" s="4">
        <f>IS!I19/IS!I6</f>
        <v>0.14605666657929914</v>
      </c>
      <c r="J6" s="4">
        <f>IS!J19/IS!J6</f>
        <v>0.15566549044027769</v>
      </c>
      <c r="K6" s="4">
        <f>IS!K19/IS!K6</f>
        <v>0.14444530900461028</v>
      </c>
    </row>
    <row r="7" spans="1:11" x14ac:dyDescent="0.25">
      <c r="A7" t="s">
        <v>72</v>
      </c>
      <c r="B7" s="4"/>
      <c r="C7" s="4">
        <f>IS!C19/AVERAGE(BS!B18:C18)</f>
        <v>0.22436617239325921</v>
      </c>
      <c r="D7" s="4">
        <f>IS!D19/AVERAGE(BS!C18:D18)</f>
        <v>0.15022885886181014</v>
      </c>
      <c r="E7" s="4">
        <f>IS!E19/AVERAGE(BS!D18:E18)</f>
        <v>0.20224999001205601</v>
      </c>
      <c r="F7" s="4">
        <f>IS!F19/AVERAGE(BS!E18:F18)</f>
        <v>0.18604601550916791</v>
      </c>
      <c r="G7" s="4">
        <f>IS!G19/AVERAGE(BS!F18:G18)</f>
        <v>0.1903364742613177</v>
      </c>
      <c r="H7" s="4">
        <f>IS!H19/AVERAGE(BS!G18:H18)</f>
        <v>0.15665023234727418</v>
      </c>
      <c r="I7" s="4">
        <f>IS!I19/AVERAGE(BS!H18:I18)</f>
        <v>0.13199815238117799</v>
      </c>
      <c r="J7" s="4">
        <f>IS!J19/AVERAGE(BS!I18:J18)</f>
        <v>0.15430250102875953</v>
      </c>
      <c r="K7" s="4">
        <f>IS!K19/AVERAGE(BS!J18:K18)</f>
        <v>0.16304461193054878</v>
      </c>
    </row>
    <row r="8" spans="1:11" x14ac:dyDescent="0.25">
      <c r="A8" t="s">
        <v>73</v>
      </c>
      <c r="C8" s="4">
        <f>IS!C19/AVERAGE(BS!B33:C33)</f>
        <v>0.33324786262504075</v>
      </c>
      <c r="D8" s="4">
        <f>IS!D19/AVERAGE(BS!C33:D33)</f>
        <v>0.21586019097267375</v>
      </c>
      <c r="E8" s="4">
        <f>IS!E19/AVERAGE(BS!D33:E33)</f>
        <v>0.28344907394065189</v>
      </c>
      <c r="F8" s="4">
        <f>IS!F19/AVERAGE(BS!E33:F33)</f>
        <v>0.25093514415606838</v>
      </c>
      <c r="G8" s="4">
        <f>IS!G19/AVERAGE(BS!F33:G33)</f>
        <v>0.25997045790251105</v>
      </c>
      <c r="H8" s="4">
        <f>IS!H19/AVERAGE(BS!G33:H33)</f>
        <v>0.23806653030466143</v>
      </c>
      <c r="I8" s="4">
        <f>IS!I19/AVERAGE(BS!H33:I33)</f>
        <v>0.19990493529322081</v>
      </c>
      <c r="J8" s="4">
        <f>IS!J19/AVERAGE(BS!I33:J33)</f>
        <v>0.22113557433982045</v>
      </c>
      <c r="K8" s="4">
        <f>IS!K19/AVERAGE(BS!J33:K33)</f>
        <v>0.23313239772691596</v>
      </c>
    </row>
    <row r="9" spans="1:11" x14ac:dyDescent="0.25">
      <c r="A9" t="s">
        <v>74</v>
      </c>
      <c r="C9" s="4">
        <f>IS!C15/(AVERAGE(BS!B33:C33)+AVERAGE(BS!B23:C23))</f>
        <v>0.41589116713009588</v>
      </c>
      <c r="D9" s="4">
        <f>IS!D15/(AVERAGE(BS!C33:D33)+AVERAGE(BS!C23:D23))</f>
        <v>0.26942410653086235</v>
      </c>
      <c r="E9" s="4">
        <f>IS!E15/(AVERAGE(BS!D33:E33)+AVERAGE(BS!D23:E23))</f>
        <v>0.34380147542608536</v>
      </c>
      <c r="F9" s="4">
        <f>IS!F15/(AVERAGE(BS!E33:F33)+AVERAGE(BS!E23:F23))</f>
        <v>0.31590938216406328</v>
      </c>
      <c r="G9" s="4">
        <f>IS!G15/(AVERAGE(BS!F33:G33)+AVERAGE(BS!F23:G23))</f>
        <v>0.31528889983984232</v>
      </c>
      <c r="H9" s="4">
        <f>IS!H15/(AVERAGE(BS!G33:H33)+AVERAGE(BS!G23:H23))</f>
        <v>0.2871330307054929</v>
      </c>
      <c r="I9" s="4">
        <f>IS!I15/(AVERAGE(BS!H33:I33)+AVERAGE(BS!H23:I23))</f>
        <v>0.26768961484038245</v>
      </c>
      <c r="J9" s="4">
        <f>IS!J15/(AVERAGE(BS!I33:J33)+AVERAGE(BS!I23:J23))</f>
        <v>0.25891859881110335</v>
      </c>
      <c r="K9" s="4">
        <f>IS!K15/(AVERAGE(BS!J33:K33)+AVERAGE(BS!J23:K23))</f>
        <v>0.29015581927596318</v>
      </c>
    </row>
    <row r="10" spans="1:11" x14ac:dyDescent="0.25"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1" t="s">
        <v>75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</row>
    <row r="12" spans="1:11" x14ac:dyDescent="0.25">
      <c r="A12" t="s">
        <v>76</v>
      </c>
      <c r="B12" s="5">
        <f>BS!B10/BS!B22</f>
        <v>2.0915483813724194</v>
      </c>
      <c r="C12" s="5">
        <f>BS!C10/BS!C22</f>
        <v>2.3174141909794321</v>
      </c>
      <c r="D12" s="5">
        <f>BS!D10/BS!D22</f>
        <v>2.5417741352909156</v>
      </c>
      <c r="E12" s="5">
        <f>BS!E10/BS!E22</f>
        <v>2.3346272606969563</v>
      </c>
      <c r="F12" s="5">
        <f>BS!F10/BS!F22</f>
        <v>2.4298011279311367</v>
      </c>
      <c r="G12" s="5">
        <f>BS!G10/BS!G22</f>
        <v>2.4166192373363686</v>
      </c>
      <c r="H12" s="5">
        <f>BS!H10/BS!H22</f>
        <v>1.6190476190476191</v>
      </c>
      <c r="I12" s="5">
        <f>BS!I10/BS!I22</f>
        <v>2.4766150837024679</v>
      </c>
      <c r="J12" s="5">
        <f>BS!J10/BS!J22</f>
        <v>2.5587749667110518</v>
      </c>
      <c r="K12" s="5">
        <f>BS!K10/BS!K22</f>
        <v>2.4999766693108114</v>
      </c>
    </row>
    <row r="13" spans="1:11" x14ac:dyDescent="0.25">
      <c r="A13" t="s">
        <v>77</v>
      </c>
      <c r="B13" s="5">
        <f>(BS!B6+BS!B7)/BS!B22</f>
        <v>1.6334980923588311</v>
      </c>
      <c r="C13" s="5">
        <f>(BS!C6+BS!C7)/BS!C22</f>
        <v>1.7181914620841525</v>
      </c>
      <c r="D13" s="5">
        <f>(BS!D6+BS!D7)/BS!D22</f>
        <v>1.789927201135479</v>
      </c>
      <c r="E13" s="5">
        <f>(BS!E6+BS!E7)/BS!E22</f>
        <v>1.631318923687693</v>
      </c>
      <c r="F13" s="5">
        <f>(BS!F6+BS!F7)/BS!F22</f>
        <v>1.5844464232710003</v>
      </c>
      <c r="G13" s="5">
        <f>(BS!G6+BS!G7)/BS!G22</f>
        <v>1.7723392145702903</v>
      </c>
      <c r="H13" s="5">
        <f>(BS!H6+BS!H7)/BS!H22</f>
        <v>1.0997050147492626</v>
      </c>
      <c r="I13" s="5">
        <f>(BS!I6+BS!I7)/BS!I22</f>
        <v>1.9091065984007363</v>
      </c>
      <c r="J13" s="5">
        <f>(BS!J6+BS!J7)/BS!J22</f>
        <v>2.1063115845539282</v>
      </c>
      <c r="K13" s="5">
        <f>(BS!K6+BS!K7)/BS!K22</f>
        <v>2.1284587746722039</v>
      </c>
    </row>
    <row r="14" spans="1:11" x14ac:dyDescent="0.25">
      <c r="A14" t="s">
        <v>78</v>
      </c>
      <c r="B14" s="5">
        <f>BS!B6/BS!B22</f>
        <v>1.0185905745429993</v>
      </c>
      <c r="C14" s="5">
        <f>BS!C6/BS!C22</f>
        <v>1.060709599247867</v>
      </c>
      <c r="D14" s="5">
        <f>BS!D6/BS!D22</f>
        <v>1.0043363907838976</v>
      </c>
      <c r="E14" s="5">
        <f>BS!E6/BS!E22</f>
        <v>0.89898544331715924</v>
      </c>
      <c r="F14" s="5">
        <f>BS!F6/BS!F22</f>
        <v>0.630750964677946</v>
      </c>
      <c r="G14" s="5">
        <f>BS!G6/BS!G22</f>
        <v>0.82055451662736811</v>
      </c>
      <c r="H14" s="5">
        <f>BS!H6/BS!H22</f>
        <v>0.50421407501053517</v>
      </c>
      <c r="I14" s="5">
        <f>BS!I6/BS!I22</f>
        <v>0.900937697750676</v>
      </c>
      <c r="J14" s="5">
        <f>BS!J6/BS!J22</f>
        <v>1.0053262316910785</v>
      </c>
      <c r="K14" s="5">
        <f>BS!K6/BS!K22</f>
        <v>0.93831365778545095</v>
      </c>
    </row>
    <row r="15" spans="1:11" x14ac:dyDescent="0.25">
      <c r="A15" t="s">
        <v>79</v>
      </c>
      <c r="B15" s="3">
        <f>BS!B10/(SUM(IS!B8:B12)/365)</f>
        <v>292.65001947456426</v>
      </c>
      <c r="C15" s="3">
        <f>BS!C10/(SUM(IS!C8:C12)/365)</f>
        <v>297.99813239320065</v>
      </c>
      <c r="D15" s="3">
        <f>BS!D10/(SUM(IS!D8:D12)/365)</f>
        <v>372.44405060126894</v>
      </c>
      <c r="E15" s="3">
        <f>BS!E10/(SUM(IS!E8:E12)/365)</f>
        <v>259.76212887263341</v>
      </c>
      <c r="F15" s="3">
        <f>BS!F10/(SUM(IS!F8:F12)/365)</f>
        <v>227.94980037128397</v>
      </c>
      <c r="G15" s="3">
        <f>BS!G10/(SUM(IS!G8:G12)/365)</f>
        <v>233.2967032967033</v>
      </c>
      <c r="H15" s="3">
        <f>BS!H10/(SUM(IS!H8:H12)/365)</f>
        <v>262.80547226386807</v>
      </c>
      <c r="I15" s="3">
        <f>BS!I10/(SUM(IS!I8:I12)/365)</f>
        <v>283.99296958305473</v>
      </c>
      <c r="J15" s="3">
        <f>BS!J10/(SUM(IS!J8:J12)/365)</f>
        <v>269.26330579527655</v>
      </c>
      <c r="K15" s="3">
        <f>BS!K10/(SUM(IS!K8:K12)/365)</f>
        <v>248.07942609225148</v>
      </c>
    </row>
    <row r="16" spans="1:1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1" t="s">
        <v>80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</row>
    <row r="18" spans="1:11" x14ac:dyDescent="0.25">
      <c r="A18" t="s">
        <v>81</v>
      </c>
      <c r="B18" s="5">
        <f>BS!B18/BS!B33</f>
        <v>1.52901746096834</v>
      </c>
      <c r="C18" s="5">
        <f>BS!C18/BS!C33</f>
        <v>1.4500088865045262</v>
      </c>
      <c r="D18" s="5">
        <f>BS!D18/BS!D33</f>
        <v>1.4253102103767812</v>
      </c>
      <c r="E18" s="5">
        <f>BS!E18/BS!E33</f>
        <v>1.3816194674234648</v>
      </c>
      <c r="F18" s="5">
        <f>BS!F18/BS!F33</f>
        <v>1.318886384873303</v>
      </c>
      <c r="G18" s="5">
        <f>BS!G18/BS!G33</f>
        <v>1.4070510501820637</v>
      </c>
      <c r="H18" s="5">
        <f>BS!H18/BS!H33</f>
        <v>1.6106065615215572</v>
      </c>
      <c r="I18" s="5">
        <f>BS!I18/BS!I33</f>
        <v>1.4321593821776906</v>
      </c>
      <c r="J18" s="5">
        <f>BS!J18/BS!J33</f>
        <v>1.4340708963648678</v>
      </c>
      <c r="K18" s="5">
        <f>BS!K18/BS!K33</f>
        <v>1.4258845836264107</v>
      </c>
    </row>
    <row r="19" spans="1:11" x14ac:dyDescent="0.25">
      <c r="A19" t="s">
        <v>82</v>
      </c>
      <c r="B19" s="5">
        <f>BS!B23/BS!B33</f>
        <v>1.0232996517598672E-2</v>
      </c>
      <c r="C19" s="5">
        <f>BS!C23/BS!C33</f>
        <v>6.9072002080100316E-3</v>
      </c>
      <c r="D19" s="5">
        <f>BS!D23/BS!D33</f>
        <v>2.6716007105428957E-2</v>
      </c>
      <c r="E19" s="5">
        <f>BS!E23/BS!E33</f>
        <v>1.1563311394239478E-2</v>
      </c>
      <c r="F19" s="5">
        <f>BS!F23/BS!F33</f>
        <v>9.2892870884406092E-3</v>
      </c>
      <c r="G19" s="5">
        <f>BS!G23/BS!G33</f>
        <v>7.1788564952132913E-2</v>
      </c>
      <c r="H19" s="5">
        <f>BS!H23/BS!H33</f>
        <v>9.7761614904416483E-2</v>
      </c>
      <c r="I19" s="5">
        <f>BS!I23/BS!I33</f>
        <v>9.5386305382643727E-2</v>
      </c>
      <c r="J19" s="5">
        <f>BS!J23/BS!J33</f>
        <v>9.0023546108441113E-2</v>
      </c>
      <c r="K19" s="5">
        <f>BS!K23/BS!K33</f>
        <v>5.7723477782195172E-2</v>
      </c>
    </row>
    <row r="20" spans="1:11" x14ac:dyDescent="0.25">
      <c r="A20" s="6" t="s">
        <v>83</v>
      </c>
      <c r="B20" s="5">
        <f>BS!B23/BS!B18</f>
        <v>6.6925308433809687E-3</v>
      </c>
      <c r="C20" s="5">
        <f>BS!C23/BS!C18</f>
        <v>4.7635571563019313E-3</v>
      </c>
      <c r="D20" s="5">
        <f>BS!D23/BS!D18</f>
        <v>1.8743994753511638E-2</v>
      </c>
      <c r="E20" s="5">
        <f>BS!E23/BS!E18</f>
        <v>8.3693894497618108E-3</v>
      </c>
      <c r="F20" s="5">
        <f>BS!F23/BS!F18</f>
        <v>7.0432807518389633E-3</v>
      </c>
      <c r="G20" s="5">
        <f>BS!G23/BS!G18</f>
        <v>5.10205830434112E-2</v>
      </c>
      <c r="H20" s="5">
        <f>BS!H23/BS!H18</f>
        <v>6.0698631956435115E-2</v>
      </c>
      <c r="I20" s="5">
        <f>BS!I23/BS!I18</f>
        <v>6.6603135495717461E-2</v>
      </c>
      <c r="J20" s="5">
        <f>BS!J23/BS!J18</f>
        <v>6.277482259533744E-2</v>
      </c>
      <c r="K20" s="5">
        <f>BS!K23/BS!K18</f>
        <v>4.0482573726541557E-2</v>
      </c>
    </row>
    <row r="21" spans="1:11" x14ac:dyDescent="0.25">
      <c r="A21" t="s">
        <v>84</v>
      </c>
      <c r="B21" s="7">
        <f>IS!B15/IS!B16</f>
        <v>70.146986899563316</v>
      </c>
      <c r="C21" s="7">
        <f>IS!C15/IS!C16</f>
        <v>100.9348898388688</v>
      </c>
      <c r="D21" s="7">
        <f>IS!D15/IS!D16</f>
        <v>96.27307171853856</v>
      </c>
      <c r="E21" s="7">
        <f>IS!E15/IS!E16</f>
        <v>119.44943820224719</v>
      </c>
      <c r="F21" s="7">
        <f>IS!F15/IS!F16</f>
        <v>160.768115942029</v>
      </c>
      <c r="G21" s="7">
        <f>IS!G15/IS!G16</f>
        <v>73.540229885057471</v>
      </c>
      <c r="H21" s="7">
        <f>IS!H15/IS!H16</f>
        <v>28.683168316831683</v>
      </c>
      <c r="I21" s="7">
        <f>IS!I15/IS!I16</f>
        <v>32.023483365949119</v>
      </c>
      <c r="J21" s="7">
        <f>IS!J15/IS!J16</f>
        <v>54.137931034482762</v>
      </c>
      <c r="K21" s="7">
        <f>IS!K15/IS!K16</f>
        <v>56.206798866855522</v>
      </c>
    </row>
    <row r="23" spans="1:11" x14ac:dyDescent="0.25">
      <c r="A23" s="1" t="s">
        <v>85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</row>
    <row r="24" spans="1:11" x14ac:dyDescent="0.25">
      <c r="A24" t="s">
        <v>86</v>
      </c>
      <c r="C24" s="2">
        <f>IS!C6/AVERAGE(BS!B18:C18)</f>
        <v>1.1603235355624801</v>
      </c>
      <c r="D24" s="2">
        <f>IS!D6/AVERAGE(BS!C18:D18)</f>
        <v>0.85826142346873602</v>
      </c>
      <c r="E24" s="2">
        <f>IS!E6/AVERAGE(BS!D18:E18)</f>
        <v>1.143161313520386</v>
      </c>
      <c r="F24" s="2">
        <f>IS!F6/AVERAGE(BS!E18:F18)</f>
        <v>1.1050335463088394</v>
      </c>
      <c r="G24" s="2">
        <f>IS!G6/AVERAGE(BS!F18:G18)</f>
        <v>1.1542440143692754</v>
      </c>
      <c r="H24" s="2">
        <f>IS!H6/AVERAGE(BS!G18:H18)</f>
        <v>1.0096480788847331</v>
      </c>
      <c r="I24" s="2">
        <f>IS!I6/AVERAGE(BS!H18:I18)</f>
        <v>0.90374616559875875</v>
      </c>
      <c r="J24" s="2">
        <f>IS!J6/AVERAGE(BS!I18:J18)</f>
        <v>0.99124411320927253</v>
      </c>
      <c r="K24" s="2">
        <f>IS!K6/AVERAGE(BS!J18:K18)</f>
        <v>1.1287636341678973</v>
      </c>
    </row>
    <row r="25" spans="1:11" x14ac:dyDescent="0.25">
      <c r="A25" t="s">
        <v>87</v>
      </c>
      <c r="C25" s="2">
        <f>IS!C6/AVERAGE(BS!B7:C7)</f>
        <v>6.1924619912564145</v>
      </c>
      <c r="D25" s="2">
        <f>IS!D6/AVERAGE(BS!C7:D7)</f>
        <v>4.489089982138637</v>
      </c>
      <c r="E25" s="2">
        <f>IS!E6/AVERAGE(BS!D7:E7)</f>
        <v>6.0719729074892621</v>
      </c>
      <c r="F25" s="2">
        <f>IS!F6/AVERAGE(BS!E7:F7)</f>
        <v>5.7746934225195092</v>
      </c>
      <c r="G25" s="2">
        <f>IS!G6/AVERAGE(BS!F7:G7)</f>
        <v>5.7502928086202854</v>
      </c>
      <c r="H25" s="2">
        <f>IS!H6/AVERAGE(BS!G7:H7)</f>
        <v>5.5165073344428537</v>
      </c>
      <c r="I25" s="2">
        <f>IS!I6/AVERAGE(BS!H7:I7)</f>
        <v>4.8209502148091987</v>
      </c>
      <c r="J25" s="2">
        <f>IS!J6/AVERAGE(BS!I7:J7)</f>
        <v>4.5406848884699968</v>
      </c>
      <c r="K25" s="2">
        <f>IS!K6/AVERAGE(BS!J7:K7)</f>
        <v>4.4530393919050608</v>
      </c>
    </row>
    <row r="26" spans="1:11" x14ac:dyDescent="0.25">
      <c r="A26" t="s">
        <v>88</v>
      </c>
      <c r="C26" s="2">
        <f>(IS!C8+IS!C12)/AVERAGE(BS!B8:C8)</f>
        <v>52.76095887963988</v>
      </c>
      <c r="D26" s="2">
        <f>(IS!D8+IS!D12)/AVERAGE(BS!C8:D8)</f>
        <v>32.519557440356323</v>
      </c>
      <c r="E26" s="2">
        <f>(IS!E8+IS!E12)/AVERAGE(BS!D8:E8)</f>
        <v>40.789668442865597</v>
      </c>
      <c r="F26" s="2">
        <f>(IS!F8+IS!F12)/AVERAGE(BS!E8:F8)</f>
        <v>51.209821428571431</v>
      </c>
      <c r="G26" s="2">
        <f>(IS!G8+IS!G12)/AVERAGE(BS!F8:G8)</f>
        <v>101.61977186311788</v>
      </c>
      <c r="H26" s="2">
        <f>(IS!H8+IS!H12)/AVERAGE(BS!G8:H8)</f>
        <v>165.65934065934067</v>
      </c>
      <c r="I26" s="2">
        <f>(IS!I8+IS!I12)/AVERAGE(BS!H8:I8)</f>
        <v>156.99459459459459</v>
      </c>
      <c r="J26" s="2">
        <f>(IS!J8+IS!J12)/AVERAGE(BS!I8:J8)</f>
        <v>132.0392156862745</v>
      </c>
      <c r="K26" s="2">
        <f>(IS!K8+IS!K12)/AVERAGE(BS!J8:K8)</f>
        <v>105.5681233933162</v>
      </c>
    </row>
    <row r="27" spans="1:11" x14ac:dyDescent="0.25">
      <c r="A27" t="s">
        <v>89</v>
      </c>
      <c r="C27" s="2">
        <f>(IS!C8+IS!C12)/AVERAGE(BS!B19:C19)</f>
        <v>5.5231797986446658</v>
      </c>
      <c r="D27" s="2">
        <f>(IS!D8+IS!D12)/AVERAGE(BS!C19:D19)</f>
        <v>5.1077769219033158</v>
      </c>
      <c r="E27" s="2">
        <f>(IS!E8+IS!E12)/AVERAGE(BS!D19:E19)</f>
        <v>5.3369032114378125</v>
      </c>
      <c r="F27" s="2">
        <f>(IS!F8+IS!F12)/AVERAGE(BS!E19:F19)</f>
        <v>4.7264112072517515</v>
      </c>
      <c r="G27" s="2">
        <f>(IS!G8+IS!G12)/AVERAGE(BS!F19:G19)</f>
        <v>6.7575221238938052</v>
      </c>
      <c r="H27" s="2">
        <f>(IS!H8+IS!H12)/AVERAGE(BS!G19:H19)</f>
        <v>8.0164849773996281</v>
      </c>
      <c r="I27" s="2">
        <f>(IS!I8+IS!I12)/AVERAGE(BS!H19:I19)</f>
        <v>3.6773866801721953</v>
      </c>
      <c r="J27" s="2">
        <f>(IS!J8+IS!J12)/AVERAGE(BS!I19:J19)</f>
        <v>2.5915948275862069</v>
      </c>
      <c r="K27" s="2">
        <f>(IS!K8+IS!K12)/AVERAGE(BS!J19:K19)</f>
        <v>2.9809814169570266</v>
      </c>
    </row>
    <row r="28" spans="1:11" x14ac:dyDescent="0.25">
      <c r="A28" t="s">
        <v>90</v>
      </c>
      <c r="C28" s="2">
        <f>365/C25</f>
        <v>58.942630655685889</v>
      </c>
      <c r="D28" s="2">
        <f t="shared" ref="D28:K28" si="0">365/D25</f>
        <v>81.308238741543605</v>
      </c>
      <c r="E28" s="2">
        <f t="shared" si="0"/>
        <v>60.11225767325206</v>
      </c>
      <c r="F28" s="2">
        <f t="shared" si="0"/>
        <v>63.206818664452982</v>
      </c>
      <c r="G28" s="2">
        <f t="shared" si="0"/>
        <v>63.475028515561355</v>
      </c>
      <c r="H28" s="2">
        <f t="shared" si="0"/>
        <v>66.165052971304277</v>
      </c>
      <c r="I28" s="2">
        <f t="shared" si="0"/>
        <v>75.711215369695708</v>
      </c>
      <c r="J28" s="2">
        <f t="shared" si="0"/>
        <v>80.384349270047736</v>
      </c>
      <c r="K28" s="2">
        <f t="shared" si="0"/>
        <v>81.966488026922406</v>
      </c>
    </row>
    <row r="29" spans="1:11" x14ac:dyDescent="0.25">
      <c r="A29" t="s">
        <v>91</v>
      </c>
      <c r="C29" s="2">
        <f>365/C26</f>
        <v>6.9179940575502163</v>
      </c>
      <c r="D29" s="2">
        <f t="shared" ref="D29:K29" si="1">365/D26</f>
        <v>11.224014984504064</v>
      </c>
      <c r="E29" s="2">
        <f t="shared" si="1"/>
        <v>8.9483443708609283</v>
      </c>
      <c r="F29" s="2">
        <f t="shared" si="1"/>
        <v>7.1275390114201027</v>
      </c>
      <c r="G29" s="2">
        <f t="shared" si="1"/>
        <v>3.5918206989448476</v>
      </c>
      <c r="H29" s="2">
        <f t="shared" si="1"/>
        <v>2.2033167495854062</v>
      </c>
      <c r="I29" s="2">
        <f t="shared" si="1"/>
        <v>2.3249208098058118</v>
      </c>
      <c r="J29" s="2">
        <f t="shared" si="1"/>
        <v>2.7643302643302645</v>
      </c>
      <c r="K29" s="2">
        <f t="shared" si="1"/>
        <v>3.4574830760239612</v>
      </c>
    </row>
    <row r="30" spans="1:11" x14ac:dyDescent="0.25">
      <c r="A30" t="s">
        <v>92</v>
      </c>
      <c r="C30" s="2">
        <f>365/C27</f>
        <v>66.085120040735845</v>
      </c>
      <c r="D30" s="2">
        <f t="shared" ref="D30:K30" si="2">365/D27</f>
        <v>71.459659570251887</v>
      </c>
      <c r="E30" s="2">
        <f t="shared" si="2"/>
        <v>68.391721854304635</v>
      </c>
      <c r="F30" s="2">
        <f t="shared" si="2"/>
        <v>77.225612413913339</v>
      </c>
      <c r="G30" s="2">
        <f t="shared" si="2"/>
        <v>54.013881613410163</v>
      </c>
      <c r="H30" s="2">
        <f t="shared" si="2"/>
        <v>45.531177446102816</v>
      </c>
      <c r="I30" s="2">
        <f t="shared" si="2"/>
        <v>99.255267869439479</v>
      </c>
      <c r="J30" s="2">
        <f t="shared" si="2"/>
        <v>140.83991683991684</v>
      </c>
      <c r="K30" s="2">
        <f t="shared" si="2"/>
        <v>122.44289680027273</v>
      </c>
    </row>
    <row r="31" spans="1:11" x14ac:dyDescent="0.25"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t="s">
        <v>93</v>
      </c>
      <c r="C32" s="7">
        <f>C28+C29</f>
        <v>65.860624713236106</v>
      </c>
      <c r="D32" s="7">
        <f t="shared" ref="D32:K32" si="3">D28+D29</f>
        <v>92.532253726047671</v>
      </c>
      <c r="E32" s="7">
        <f t="shared" si="3"/>
        <v>69.060602044112983</v>
      </c>
      <c r="F32" s="7">
        <f t="shared" si="3"/>
        <v>70.334357675873079</v>
      </c>
      <c r="G32" s="7">
        <f t="shared" si="3"/>
        <v>67.066849214506206</v>
      </c>
      <c r="H32" s="7">
        <f t="shared" si="3"/>
        <v>68.368369720889689</v>
      </c>
      <c r="I32" s="7">
        <f t="shared" si="3"/>
        <v>78.036136179501526</v>
      </c>
      <c r="J32" s="7">
        <f t="shared" si="3"/>
        <v>83.148679534378005</v>
      </c>
      <c r="K32" s="7">
        <f t="shared" si="3"/>
        <v>85.423971102946368</v>
      </c>
    </row>
    <row r="33" spans="1:11" x14ac:dyDescent="0.25">
      <c r="A33" t="s">
        <v>94</v>
      </c>
      <c r="C33" s="7">
        <f>C28+C29-C30</f>
        <v>-0.22449532749973855</v>
      </c>
      <c r="D33" s="7">
        <f t="shared" ref="D33:K33" si="4">D28+D29-D30</f>
        <v>21.072594155795784</v>
      </c>
      <c r="E33" s="7">
        <f t="shared" si="4"/>
        <v>0.66888018980834829</v>
      </c>
      <c r="F33" s="7">
        <f t="shared" si="4"/>
        <v>-6.89125473804026</v>
      </c>
      <c r="G33" s="7">
        <f t="shared" si="4"/>
        <v>13.052967601096043</v>
      </c>
      <c r="H33" s="7">
        <f t="shared" si="4"/>
        <v>22.837192274786872</v>
      </c>
      <c r="I33" s="7">
        <f t="shared" si="4"/>
        <v>-21.219131689937953</v>
      </c>
      <c r="J33" s="7">
        <f t="shared" si="4"/>
        <v>-57.691237305538834</v>
      </c>
      <c r="K33" s="7">
        <f t="shared" si="4"/>
        <v>-37.018925697326367</v>
      </c>
    </row>
  </sheetData>
  <pageMargins left="0.7" right="0.7" top="0.75" bottom="0.75" header="0.3" footer="0.3"/>
  <ignoredErrors>
    <ignoredError sqref="C7:K9 B15:K15 C24:K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CFS</vt:lpstr>
      <vt:lpstr>Ratio Analysis-hcl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Priyal gor</cp:lastModifiedBy>
  <dcterms:created xsi:type="dcterms:W3CDTF">2023-12-12T07:22:48Z</dcterms:created>
  <dcterms:modified xsi:type="dcterms:W3CDTF">2026-06-28T13:23:20Z</dcterms:modified>
</cp:coreProperties>
</file>