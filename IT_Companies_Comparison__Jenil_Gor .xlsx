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61899DB191D5D9/Documents/"/>
    </mc:Choice>
  </mc:AlternateContent>
  <xr:revisionPtr revIDLastSave="40" documentId="8_{F1334E27-D739-4B7B-A501-C8BA02F3ADBB}" xr6:coauthVersionLast="47" xr6:coauthVersionMax="47" xr10:uidLastSave="{F1849044-77C7-4026-A876-312873872783}"/>
  <bookViews>
    <workbookView xWindow="-120" yWindow="-120" windowWidth="20730" windowHeight="11040" xr2:uid="{C0253310-AE5C-41E9-B6F1-5C16440FB62A}"/>
  </bookViews>
  <sheets>
    <sheet name="Cross Section Analysis" sheetId="4" r:id="rId1"/>
    <sheet name="Ratio Analysis - TCS" sheetId="3" r:id="rId2"/>
    <sheet name="Ratio Analysis - INFY" sheetId="1" r:id="rId3"/>
    <sheet name="Ratio Analysis - HCL" sheetId="2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H3" i="4"/>
  <c r="I3" i="4"/>
  <c r="J3" i="4"/>
  <c r="K3" i="4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8" i="4"/>
  <c r="D8" i="4"/>
  <c r="E8" i="4"/>
  <c r="F8" i="4"/>
  <c r="G8" i="4"/>
  <c r="H8" i="4"/>
  <c r="I8" i="4"/>
  <c r="J8" i="4"/>
  <c r="K8" i="4"/>
  <c r="C9" i="4"/>
  <c r="D9" i="4"/>
  <c r="E9" i="4"/>
  <c r="F9" i="4"/>
  <c r="G9" i="4"/>
  <c r="H9" i="4"/>
  <c r="I9" i="4"/>
  <c r="J9" i="4"/>
  <c r="K9" i="4"/>
  <c r="C10" i="4"/>
  <c r="D10" i="4"/>
  <c r="E10" i="4"/>
  <c r="F10" i="4"/>
  <c r="G10" i="4"/>
  <c r="H10" i="4"/>
  <c r="I10" i="4"/>
  <c r="J10" i="4"/>
  <c r="K10" i="4"/>
  <c r="C13" i="4"/>
  <c r="D13" i="4"/>
  <c r="E13" i="4"/>
  <c r="F13" i="4"/>
  <c r="G13" i="4"/>
  <c r="H13" i="4"/>
  <c r="I13" i="4"/>
  <c r="J13" i="4"/>
  <c r="K13" i="4"/>
  <c r="C14" i="4"/>
  <c r="D14" i="4"/>
  <c r="E14" i="4"/>
  <c r="F14" i="4"/>
  <c r="G14" i="4"/>
  <c r="H14" i="4"/>
  <c r="I14" i="4"/>
  <c r="J14" i="4"/>
  <c r="K14" i="4"/>
  <c r="C15" i="4"/>
  <c r="D15" i="4"/>
  <c r="E15" i="4"/>
  <c r="F15" i="4"/>
  <c r="G15" i="4"/>
  <c r="H15" i="4"/>
  <c r="I15" i="4"/>
  <c r="J15" i="4"/>
  <c r="K15" i="4"/>
  <c r="C18" i="4"/>
  <c r="D18" i="4"/>
  <c r="E18" i="4"/>
  <c r="F18" i="4"/>
  <c r="G18" i="4"/>
  <c r="H18" i="4"/>
  <c r="I18" i="4"/>
  <c r="J18" i="4"/>
  <c r="K18" i="4"/>
  <c r="C19" i="4"/>
  <c r="D19" i="4"/>
  <c r="E19" i="4"/>
  <c r="F19" i="4"/>
  <c r="G19" i="4"/>
  <c r="H19" i="4"/>
  <c r="I19" i="4"/>
  <c r="J19" i="4"/>
  <c r="K19" i="4"/>
  <c r="C20" i="4"/>
  <c r="D20" i="4"/>
  <c r="E20" i="4"/>
  <c r="F20" i="4"/>
  <c r="G20" i="4"/>
  <c r="H20" i="4"/>
  <c r="I20" i="4"/>
  <c r="J20" i="4"/>
  <c r="K20" i="4"/>
  <c r="C23" i="4"/>
  <c r="D23" i="4"/>
  <c r="E23" i="4"/>
  <c r="F23" i="4"/>
  <c r="G23" i="4"/>
  <c r="H23" i="4"/>
  <c r="I23" i="4"/>
  <c r="J23" i="4"/>
  <c r="K23" i="4"/>
  <c r="C24" i="4"/>
  <c r="D24" i="4"/>
  <c r="E24" i="4"/>
  <c r="F24" i="4"/>
  <c r="G24" i="4"/>
  <c r="H24" i="4"/>
  <c r="I24" i="4"/>
  <c r="J24" i="4"/>
  <c r="K24" i="4"/>
  <c r="C25" i="4"/>
  <c r="D25" i="4"/>
  <c r="E25" i="4"/>
  <c r="F25" i="4"/>
  <c r="G25" i="4"/>
  <c r="H25" i="4"/>
  <c r="I25" i="4"/>
  <c r="J25" i="4"/>
  <c r="K25" i="4"/>
  <c r="C28" i="4"/>
  <c r="D28" i="4"/>
  <c r="E28" i="4"/>
  <c r="F28" i="4"/>
  <c r="G28" i="4"/>
  <c r="H28" i="4"/>
  <c r="I28" i="4"/>
  <c r="J28" i="4"/>
  <c r="K28" i="4"/>
  <c r="C29" i="4"/>
  <c r="D29" i="4"/>
  <c r="E29" i="4"/>
  <c r="F29" i="4"/>
  <c r="G29" i="4"/>
  <c r="H29" i="4"/>
  <c r="I29" i="4"/>
  <c r="J29" i="4"/>
  <c r="K29" i="4"/>
  <c r="C30" i="4"/>
  <c r="D30" i="4"/>
  <c r="E30" i="4"/>
  <c r="F30" i="4"/>
  <c r="G30" i="4"/>
  <c r="H30" i="4"/>
  <c r="I30" i="4"/>
  <c r="J30" i="4"/>
  <c r="K30" i="4"/>
  <c r="C33" i="4"/>
  <c r="D33" i="4"/>
  <c r="E33" i="4"/>
  <c r="F33" i="4"/>
  <c r="G33" i="4"/>
  <c r="H33" i="4"/>
  <c r="I33" i="4"/>
  <c r="J33" i="4"/>
  <c r="K33" i="4"/>
  <c r="C34" i="4"/>
  <c r="D34" i="4"/>
  <c r="E34" i="4"/>
  <c r="F34" i="4"/>
  <c r="G34" i="4"/>
  <c r="H34" i="4"/>
  <c r="I34" i="4"/>
  <c r="J34" i="4"/>
  <c r="K34" i="4"/>
  <c r="C35" i="4"/>
  <c r="D35" i="4"/>
  <c r="E35" i="4"/>
  <c r="F35" i="4"/>
  <c r="G35" i="4"/>
  <c r="H35" i="4"/>
  <c r="I35" i="4"/>
  <c r="J35" i="4"/>
  <c r="K35" i="4"/>
  <c r="B25" i="4"/>
  <c r="B24" i="4"/>
  <c r="B23" i="4"/>
  <c r="B20" i="4"/>
  <c r="B19" i="4"/>
  <c r="B18" i="4"/>
  <c r="B10" i="4"/>
  <c r="B9" i="4"/>
  <c r="B8" i="4"/>
  <c r="B5" i="4"/>
  <c r="B4" i="4"/>
  <c r="B3" i="4"/>
  <c r="K30" i="3"/>
  <c r="K29" i="3"/>
  <c r="J29" i="3"/>
  <c r="H29" i="3"/>
  <c r="G29" i="3"/>
  <c r="D29" i="3"/>
  <c r="D28" i="3"/>
  <c r="D32" i="3" s="1"/>
  <c r="C28" i="3"/>
  <c r="K27" i="3"/>
  <c r="J27" i="3"/>
  <c r="J30" i="3" s="1"/>
  <c r="I27" i="3"/>
  <c r="I30" i="3" s="1"/>
  <c r="H27" i="3"/>
  <c r="H30" i="3" s="1"/>
  <c r="G27" i="3"/>
  <c r="G30" i="3" s="1"/>
  <c r="F27" i="3"/>
  <c r="F30" i="3" s="1"/>
  <c r="E27" i="3"/>
  <c r="E30" i="3" s="1"/>
  <c r="D27" i="3"/>
  <c r="D30" i="3" s="1"/>
  <c r="C27" i="3"/>
  <c r="C30" i="3" s="1"/>
  <c r="K26" i="3"/>
  <c r="J26" i="3"/>
  <c r="I26" i="3"/>
  <c r="I29" i="3" s="1"/>
  <c r="H26" i="3"/>
  <c r="G26" i="3"/>
  <c r="F26" i="3"/>
  <c r="F29" i="3" s="1"/>
  <c r="E26" i="3"/>
  <c r="E29" i="3" s="1"/>
  <c r="D26" i="3"/>
  <c r="C26" i="3"/>
  <c r="C29" i="3" s="1"/>
  <c r="K25" i="3"/>
  <c r="K28" i="3" s="1"/>
  <c r="J25" i="3"/>
  <c r="J28" i="3" s="1"/>
  <c r="I25" i="3"/>
  <c r="I28" i="3" s="1"/>
  <c r="H25" i="3"/>
  <c r="H28" i="3" s="1"/>
  <c r="G25" i="3"/>
  <c r="G28" i="3" s="1"/>
  <c r="F25" i="3"/>
  <c r="F28" i="3" s="1"/>
  <c r="E25" i="3"/>
  <c r="E28" i="3" s="1"/>
  <c r="D25" i="3"/>
  <c r="C25" i="3"/>
  <c r="K24" i="3"/>
  <c r="J24" i="3"/>
  <c r="I24" i="3"/>
  <c r="H24" i="3"/>
  <c r="G24" i="3"/>
  <c r="F24" i="3"/>
  <c r="E24" i="3"/>
  <c r="D24" i="3"/>
  <c r="C24" i="3"/>
  <c r="K21" i="3"/>
  <c r="J21" i="3"/>
  <c r="I21" i="3"/>
  <c r="H21" i="3"/>
  <c r="G21" i="3"/>
  <c r="F21" i="3"/>
  <c r="E21" i="3"/>
  <c r="D21" i="3"/>
  <c r="C21" i="3"/>
  <c r="B21" i="3"/>
  <c r="K20" i="3"/>
  <c r="J20" i="3"/>
  <c r="I20" i="3"/>
  <c r="H20" i="3"/>
  <c r="G20" i="3"/>
  <c r="F20" i="3"/>
  <c r="E20" i="3"/>
  <c r="D20" i="3"/>
  <c r="C20" i="3"/>
  <c r="B20" i="3"/>
  <c r="K19" i="3"/>
  <c r="J19" i="3"/>
  <c r="I19" i="3"/>
  <c r="H19" i="3"/>
  <c r="G19" i="3"/>
  <c r="F19" i="3"/>
  <c r="E19" i="3"/>
  <c r="D19" i="3"/>
  <c r="C19" i="3"/>
  <c r="B19" i="3"/>
  <c r="K18" i="3"/>
  <c r="J18" i="3"/>
  <c r="I18" i="3"/>
  <c r="H18" i="3"/>
  <c r="G18" i="3"/>
  <c r="F18" i="3"/>
  <c r="E18" i="3"/>
  <c r="D18" i="3"/>
  <c r="C18" i="3"/>
  <c r="B18" i="3"/>
  <c r="K15" i="3"/>
  <c r="J15" i="3"/>
  <c r="I15" i="3"/>
  <c r="H15" i="3"/>
  <c r="G15" i="3"/>
  <c r="F15" i="3"/>
  <c r="E15" i="3"/>
  <c r="D15" i="3"/>
  <c r="C15" i="3"/>
  <c r="B15" i="3"/>
  <c r="K14" i="3"/>
  <c r="J14" i="3"/>
  <c r="I14" i="3"/>
  <c r="H14" i="3"/>
  <c r="G14" i="3"/>
  <c r="F14" i="3"/>
  <c r="E14" i="3"/>
  <c r="D14" i="3"/>
  <c r="C14" i="3"/>
  <c r="B14" i="3"/>
  <c r="K13" i="3"/>
  <c r="J13" i="3"/>
  <c r="I13" i="3"/>
  <c r="H13" i="3"/>
  <c r="G13" i="3"/>
  <c r="F13" i="3"/>
  <c r="E13" i="3"/>
  <c r="D13" i="3"/>
  <c r="C13" i="3"/>
  <c r="B13" i="3"/>
  <c r="K12" i="3"/>
  <c r="J12" i="3"/>
  <c r="I12" i="3"/>
  <c r="H12" i="3"/>
  <c r="G12" i="3"/>
  <c r="F12" i="3"/>
  <c r="E12" i="3"/>
  <c r="D12" i="3"/>
  <c r="C12" i="3"/>
  <c r="B12" i="3"/>
  <c r="K9" i="3"/>
  <c r="J9" i="3"/>
  <c r="I9" i="3"/>
  <c r="H9" i="3"/>
  <c r="G9" i="3"/>
  <c r="F9" i="3"/>
  <c r="E9" i="3"/>
  <c r="D9" i="3"/>
  <c r="C9" i="3"/>
  <c r="K8" i="3"/>
  <c r="J8" i="3"/>
  <c r="I8" i="3"/>
  <c r="H8" i="3"/>
  <c r="G8" i="3"/>
  <c r="F8" i="3"/>
  <c r="E8" i="3"/>
  <c r="D8" i="3"/>
  <c r="C8" i="3"/>
  <c r="K7" i="3"/>
  <c r="J7" i="3"/>
  <c r="I7" i="3"/>
  <c r="H7" i="3"/>
  <c r="G7" i="3"/>
  <c r="F7" i="3"/>
  <c r="E7" i="3"/>
  <c r="D7" i="3"/>
  <c r="C7" i="3"/>
  <c r="K6" i="3"/>
  <c r="J6" i="3"/>
  <c r="I6" i="3"/>
  <c r="H6" i="3"/>
  <c r="G6" i="3"/>
  <c r="F6" i="3"/>
  <c r="E6" i="3"/>
  <c r="D6" i="3"/>
  <c r="C6" i="3"/>
  <c r="B6" i="3"/>
  <c r="K5" i="3"/>
  <c r="J5" i="3"/>
  <c r="I5" i="3"/>
  <c r="H5" i="3"/>
  <c r="G5" i="3"/>
  <c r="F5" i="3"/>
  <c r="E5" i="3"/>
  <c r="D5" i="3"/>
  <c r="C5" i="3"/>
  <c r="B5" i="3"/>
  <c r="K4" i="3"/>
  <c r="J4" i="3"/>
  <c r="I4" i="3"/>
  <c r="H4" i="3"/>
  <c r="G4" i="3"/>
  <c r="F4" i="3"/>
  <c r="E4" i="3"/>
  <c r="D4" i="3"/>
  <c r="C4" i="3"/>
  <c r="B4" i="3"/>
  <c r="K3" i="3"/>
  <c r="J3" i="3"/>
  <c r="I3" i="3"/>
  <c r="H3" i="3"/>
  <c r="G3" i="3"/>
  <c r="F3" i="3"/>
  <c r="E3" i="3"/>
  <c r="D3" i="3"/>
  <c r="C3" i="3"/>
  <c r="B3" i="3"/>
  <c r="C30" i="2"/>
  <c r="K29" i="2"/>
  <c r="H29" i="2"/>
  <c r="G29" i="2"/>
  <c r="F29" i="2"/>
  <c r="E28" i="2"/>
  <c r="D28" i="2"/>
  <c r="K27" i="2"/>
  <c r="K30" i="2" s="1"/>
  <c r="J27" i="2"/>
  <c r="J30" i="2" s="1"/>
  <c r="I27" i="2"/>
  <c r="I30" i="2" s="1"/>
  <c r="H27" i="2"/>
  <c r="H30" i="2" s="1"/>
  <c r="G27" i="2"/>
  <c r="G30" i="2" s="1"/>
  <c r="F27" i="2"/>
  <c r="F30" i="2" s="1"/>
  <c r="E27" i="2"/>
  <c r="E30" i="2" s="1"/>
  <c r="D27" i="2"/>
  <c r="D30" i="2" s="1"/>
  <c r="C27" i="2"/>
  <c r="K26" i="2"/>
  <c r="J26" i="2"/>
  <c r="J29" i="2" s="1"/>
  <c r="I26" i="2"/>
  <c r="I29" i="2" s="1"/>
  <c r="H26" i="2"/>
  <c r="G26" i="2"/>
  <c r="F26" i="2"/>
  <c r="E26" i="2"/>
  <c r="E29" i="2" s="1"/>
  <c r="E32" i="2" s="1"/>
  <c r="D26" i="2"/>
  <c r="D29" i="2" s="1"/>
  <c r="D32" i="2" s="1"/>
  <c r="C26" i="2"/>
  <c r="C29" i="2" s="1"/>
  <c r="K25" i="2"/>
  <c r="K28" i="2" s="1"/>
  <c r="J25" i="2"/>
  <c r="J28" i="2" s="1"/>
  <c r="I25" i="2"/>
  <c r="I28" i="2" s="1"/>
  <c r="H25" i="2"/>
  <c r="H28" i="2" s="1"/>
  <c r="G25" i="2"/>
  <c r="G28" i="2" s="1"/>
  <c r="F25" i="2"/>
  <c r="F28" i="2" s="1"/>
  <c r="E25" i="2"/>
  <c r="D25" i="2"/>
  <c r="C25" i="2"/>
  <c r="C28" i="2" s="1"/>
  <c r="K24" i="2"/>
  <c r="J24" i="2"/>
  <c r="I24" i="2"/>
  <c r="H24" i="2"/>
  <c r="G24" i="2"/>
  <c r="F24" i="2"/>
  <c r="E24" i="2"/>
  <c r="D24" i="2"/>
  <c r="C24" i="2"/>
  <c r="K21" i="2"/>
  <c r="J21" i="2"/>
  <c r="I21" i="2"/>
  <c r="H21" i="2"/>
  <c r="G21" i="2"/>
  <c r="F21" i="2"/>
  <c r="E21" i="2"/>
  <c r="D21" i="2"/>
  <c r="C21" i="2"/>
  <c r="B21" i="2"/>
  <c r="K20" i="2"/>
  <c r="J20" i="2"/>
  <c r="I20" i="2"/>
  <c r="H20" i="2"/>
  <c r="G20" i="2"/>
  <c r="F20" i="2"/>
  <c r="E20" i="2"/>
  <c r="D20" i="2"/>
  <c r="C20" i="2"/>
  <c r="B20" i="2"/>
  <c r="K19" i="2"/>
  <c r="J19" i="2"/>
  <c r="I19" i="2"/>
  <c r="H19" i="2"/>
  <c r="G19" i="2"/>
  <c r="F19" i="2"/>
  <c r="E19" i="2"/>
  <c r="D19" i="2"/>
  <c r="C19" i="2"/>
  <c r="B19" i="2"/>
  <c r="K18" i="2"/>
  <c r="J18" i="2"/>
  <c r="I18" i="2"/>
  <c r="H18" i="2"/>
  <c r="G18" i="2"/>
  <c r="F18" i="2"/>
  <c r="E18" i="2"/>
  <c r="D18" i="2"/>
  <c r="C18" i="2"/>
  <c r="B18" i="2"/>
  <c r="K15" i="2"/>
  <c r="J15" i="2"/>
  <c r="I15" i="2"/>
  <c r="H15" i="2"/>
  <c r="G15" i="2"/>
  <c r="F15" i="2"/>
  <c r="E15" i="2"/>
  <c r="D15" i="2"/>
  <c r="C15" i="2"/>
  <c r="B15" i="2"/>
  <c r="K14" i="2"/>
  <c r="J14" i="2"/>
  <c r="I14" i="2"/>
  <c r="H14" i="2"/>
  <c r="G14" i="2"/>
  <c r="F14" i="2"/>
  <c r="E14" i="2"/>
  <c r="D14" i="2"/>
  <c r="C14" i="2"/>
  <c r="B14" i="2"/>
  <c r="K13" i="2"/>
  <c r="J13" i="2"/>
  <c r="I13" i="2"/>
  <c r="H13" i="2"/>
  <c r="G13" i="2"/>
  <c r="F13" i="2"/>
  <c r="E13" i="2"/>
  <c r="D13" i="2"/>
  <c r="C13" i="2"/>
  <c r="B13" i="2"/>
  <c r="K12" i="2"/>
  <c r="J12" i="2"/>
  <c r="I12" i="2"/>
  <c r="H12" i="2"/>
  <c r="G12" i="2"/>
  <c r="F12" i="2"/>
  <c r="E12" i="2"/>
  <c r="D12" i="2"/>
  <c r="C12" i="2"/>
  <c r="B12" i="2"/>
  <c r="K9" i="2"/>
  <c r="J9" i="2"/>
  <c r="I9" i="2"/>
  <c r="H9" i="2"/>
  <c r="G9" i="2"/>
  <c r="F9" i="2"/>
  <c r="E9" i="2"/>
  <c r="D9" i="2"/>
  <c r="C9" i="2"/>
  <c r="K8" i="2"/>
  <c r="J8" i="2"/>
  <c r="I8" i="2"/>
  <c r="H8" i="2"/>
  <c r="G8" i="2"/>
  <c r="F8" i="2"/>
  <c r="E8" i="2"/>
  <c r="D8" i="2"/>
  <c r="C8" i="2"/>
  <c r="K7" i="2"/>
  <c r="J7" i="2"/>
  <c r="I7" i="2"/>
  <c r="H7" i="2"/>
  <c r="G7" i="2"/>
  <c r="F7" i="2"/>
  <c r="E7" i="2"/>
  <c r="D7" i="2"/>
  <c r="C7" i="2"/>
  <c r="K6" i="2"/>
  <c r="J6" i="2"/>
  <c r="I6" i="2"/>
  <c r="H6" i="2"/>
  <c r="G6" i="2"/>
  <c r="F6" i="2"/>
  <c r="E6" i="2"/>
  <c r="D6" i="2"/>
  <c r="C6" i="2"/>
  <c r="B6" i="2"/>
  <c r="K5" i="2"/>
  <c r="J5" i="2"/>
  <c r="I5" i="2"/>
  <c r="H5" i="2"/>
  <c r="G5" i="2"/>
  <c r="F5" i="2"/>
  <c r="E5" i="2"/>
  <c r="D5" i="2"/>
  <c r="C5" i="2"/>
  <c r="B5" i="2"/>
  <c r="K4" i="2"/>
  <c r="J4" i="2"/>
  <c r="I4" i="2"/>
  <c r="H4" i="2"/>
  <c r="G4" i="2"/>
  <c r="F4" i="2"/>
  <c r="E4" i="2"/>
  <c r="D4" i="2"/>
  <c r="C4" i="2"/>
  <c r="B4" i="2"/>
  <c r="K3" i="2"/>
  <c r="J3" i="2"/>
  <c r="I3" i="2"/>
  <c r="H3" i="2"/>
  <c r="G3" i="2"/>
  <c r="F3" i="2"/>
  <c r="E3" i="2"/>
  <c r="D3" i="2"/>
  <c r="C3" i="2"/>
  <c r="B3" i="2"/>
  <c r="E30" i="1"/>
  <c r="H28" i="1"/>
  <c r="G28" i="1"/>
  <c r="G33" i="1" s="1"/>
  <c r="K27" i="1"/>
  <c r="K30" i="1" s="1"/>
  <c r="J27" i="1"/>
  <c r="J30" i="1" s="1"/>
  <c r="I27" i="1"/>
  <c r="I30" i="1" s="1"/>
  <c r="H27" i="1"/>
  <c r="H30" i="1" s="1"/>
  <c r="G27" i="1"/>
  <c r="G30" i="1" s="1"/>
  <c r="F27" i="1"/>
  <c r="F30" i="1" s="1"/>
  <c r="E27" i="1"/>
  <c r="D27" i="1"/>
  <c r="D30" i="1" s="1"/>
  <c r="C27" i="1"/>
  <c r="C30" i="1" s="1"/>
  <c r="K26" i="1"/>
  <c r="J26" i="1"/>
  <c r="I26" i="1"/>
  <c r="H26" i="1"/>
  <c r="G26" i="1"/>
  <c r="F26" i="1"/>
  <c r="E26" i="1"/>
  <c r="D26" i="1"/>
  <c r="C26" i="1"/>
  <c r="K25" i="1"/>
  <c r="K28" i="1" s="1"/>
  <c r="J25" i="1"/>
  <c r="J28" i="1" s="1"/>
  <c r="I25" i="1"/>
  <c r="I28" i="1" s="1"/>
  <c r="H25" i="1"/>
  <c r="G25" i="1"/>
  <c r="F25" i="1"/>
  <c r="F28" i="1" s="1"/>
  <c r="E25" i="1"/>
  <c r="E28" i="1" s="1"/>
  <c r="D25" i="1"/>
  <c r="D28" i="1" s="1"/>
  <c r="C25" i="1"/>
  <c r="C28" i="1" s="1"/>
  <c r="K24" i="1"/>
  <c r="J24" i="1"/>
  <c r="I24" i="1"/>
  <c r="H24" i="1"/>
  <c r="G24" i="1"/>
  <c r="F24" i="1"/>
  <c r="E24" i="1"/>
  <c r="D24" i="1"/>
  <c r="C24" i="1"/>
  <c r="K21" i="1"/>
  <c r="J21" i="1"/>
  <c r="I21" i="1"/>
  <c r="H21" i="1"/>
  <c r="G21" i="1"/>
  <c r="F21" i="1"/>
  <c r="E21" i="1"/>
  <c r="D21" i="1"/>
  <c r="C21" i="1"/>
  <c r="B21" i="1"/>
  <c r="K20" i="1"/>
  <c r="J20" i="1"/>
  <c r="I20" i="1"/>
  <c r="H20" i="1"/>
  <c r="G20" i="1"/>
  <c r="F20" i="1"/>
  <c r="E20" i="1"/>
  <c r="D20" i="1"/>
  <c r="C20" i="1"/>
  <c r="B20" i="1"/>
  <c r="K19" i="1"/>
  <c r="J19" i="1"/>
  <c r="I19" i="1"/>
  <c r="H19" i="1"/>
  <c r="G19" i="1"/>
  <c r="F19" i="1"/>
  <c r="E19" i="1"/>
  <c r="D19" i="1"/>
  <c r="C19" i="1"/>
  <c r="B19" i="1"/>
  <c r="K18" i="1"/>
  <c r="J18" i="1"/>
  <c r="I18" i="1"/>
  <c r="H18" i="1"/>
  <c r="G18" i="1"/>
  <c r="F18" i="1"/>
  <c r="E18" i="1"/>
  <c r="D18" i="1"/>
  <c r="C18" i="1"/>
  <c r="B18" i="1"/>
  <c r="K15" i="1"/>
  <c r="J15" i="1"/>
  <c r="I15" i="1"/>
  <c r="H15" i="1"/>
  <c r="G15" i="1"/>
  <c r="F15" i="1"/>
  <c r="E15" i="1"/>
  <c r="D15" i="1"/>
  <c r="C15" i="1"/>
  <c r="B15" i="1"/>
  <c r="K14" i="1"/>
  <c r="J14" i="1"/>
  <c r="I14" i="1"/>
  <c r="H14" i="1"/>
  <c r="G14" i="1"/>
  <c r="F14" i="1"/>
  <c r="E14" i="1"/>
  <c r="D14" i="1"/>
  <c r="C14" i="1"/>
  <c r="B14" i="1"/>
  <c r="K13" i="1"/>
  <c r="J13" i="1"/>
  <c r="I13" i="1"/>
  <c r="H13" i="1"/>
  <c r="G13" i="1"/>
  <c r="F13" i="1"/>
  <c r="E13" i="1"/>
  <c r="D13" i="1"/>
  <c r="C13" i="1"/>
  <c r="B13" i="1"/>
  <c r="K12" i="1"/>
  <c r="J12" i="1"/>
  <c r="I12" i="1"/>
  <c r="H12" i="1"/>
  <c r="G12" i="1"/>
  <c r="F12" i="1"/>
  <c r="E12" i="1"/>
  <c r="D12" i="1"/>
  <c r="C12" i="1"/>
  <c r="B12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B6" i="1"/>
  <c r="K5" i="1"/>
  <c r="J5" i="1"/>
  <c r="I5" i="1"/>
  <c r="H5" i="1"/>
  <c r="G5" i="1"/>
  <c r="F5" i="1"/>
  <c r="E5" i="1"/>
  <c r="D5" i="1"/>
  <c r="C5" i="1"/>
  <c r="B5" i="1"/>
  <c r="K4" i="1"/>
  <c r="J4" i="1"/>
  <c r="I4" i="1"/>
  <c r="H4" i="1"/>
  <c r="G4" i="1"/>
  <c r="F4" i="1"/>
  <c r="E4" i="1"/>
  <c r="D4" i="1"/>
  <c r="C4" i="1"/>
  <c r="B4" i="1"/>
  <c r="K3" i="1"/>
  <c r="J3" i="1"/>
  <c r="I3" i="1"/>
  <c r="H3" i="1"/>
  <c r="G3" i="1"/>
  <c r="F3" i="1"/>
  <c r="E3" i="1"/>
  <c r="D3" i="1"/>
  <c r="C3" i="1"/>
  <c r="B3" i="1"/>
  <c r="G33" i="3" l="1"/>
  <c r="G32" i="3"/>
  <c r="I33" i="3"/>
  <c r="I32" i="3"/>
  <c r="H33" i="3"/>
  <c r="H32" i="3"/>
  <c r="J33" i="3"/>
  <c r="J32" i="3"/>
  <c r="K33" i="3"/>
  <c r="K32" i="3"/>
  <c r="C32" i="3"/>
  <c r="F33" i="3"/>
  <c r="F32" i="3"/>
  <c r="E32" i="3"/>
  <c r="E33" i="3"/>
  <c r="C33" i="3"/>
  <c r="D33" i="3"/>
  <c r="H33" i="2"/>
  <c r="H32" i="2"/>
  <c r="F33" i="2"/>
  <c r="F32" i="2"/>
  <c r="G33" i="2"/>
  <c r="G32" i="2"/>
  <c r="I33" i="2"/>
  <c r="I32" i="2"/>
  <c r="J33" i="2"/>
  <c r="J32" i="2"/>
  <c r="K33" i="2"/>
  <c r="K32" i="2"/>
  <c r="D33" i="2"/>
  <c r="E33" i="2"/>
  <c r="C32" i="2"/>
  <c r="C33" i="2"/>
  <c r="C32" i="1"/>
  <c r="C33" i="1"/>
  <c r="D32" i="1"/>
  <c r="D33" i="1"/>
  <c r="E33" i="1"/>
  <c r="E32" i="1"/>
  <c r="F33" i="1"/>
  <c r="F32" i="1"/>
  <c r="I33" i="1"/>
  <c r="I32" i="1"/>
  <c r="J33" i="1"/>
  <c r="J32" i="1"/>
  <c r="K33" i="1"/>
  <c r="K32" i="1"/>
  <c r="H33" i="1"/>
  <c r="G32" i="1"/>
  <c r="H32" i="1"/>
</calcChain>
</file>

<file path=xl/sharedStrings.xml><?xml version="1.0" encoding="utf-8"?>
<sst xmlns="http://schemas.openxmlformats.org/spreadsheetml/2006/main" count="243" uniqueCount="44">
  <si>
    <t>Profitability Ratios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</si>
  <si>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</si>
  <si>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</si>
  <si>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</si>
  <si>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</si>
  <si>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</si>
  <si>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</si>
  <si>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</si>
  <si>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</si>
  <si>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</si>
  <si>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</si>
  <si>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EBITDA Margin</t>
  </si>
  <si>
    <t>EBIT Margin</t>
  </si>
  <si>
    <t>EBT Margin</t>
  </si>
  <si>
    <t>PAT Margin</t>
  </si>
  <si>
    <t>ROA</t>
  </si>
  <si>
    <t>ROE</t>
  </si>
  <si>
    <t>ROCE</t>
  </si>
  <si>
    <t>Liquidity Ratios</t>
  </si>
  <si>
    <t>Current Ratio</t>
  </si>
  <si>
    <t>Quick Ratio</t>
  </si>
  <si>
    <t>Cash Ratio</t>
  </si>
  <si>
    <t>Defensive Interval</t>
  </si>
  <si>
    <t>Solvency Ratios</t>
  </si>
  <si>
    <t>A/E</t>
  </si>
  <si>
    <t>D/E</t>
  </si>
  <si>
    <t>D/A</t>
  </si>
  <si>
    <t>Interest Coverage Ratio</t>
  </si>
  <si>
    <t>Activity Ratios</t>
  </si>
  <si>
    <t>Asset Turnover Ratio</t>
  </si>
  <si>
    <t>Receivables Turnover Ratio</t>
  </si>
  <si>
    <t>Inventory Turnover Ratio</t>
  </si>
  <si>
    <t>Payables Turnover Ratio</t>
  </si>
  <si>
    <t>Receivable Days (DSO)</t>
  </si>
  <si>
    <t>Inventory Days (DIH)</t>
  </si>
  <si>
    <t xml:space="preserve">Payable Days </t>
  </si>
  <si>
    <t>Operating Cycle</t>
  </si>
  <si>
    <t>Net Operating Cycle (CCC)</t>
  </si>
  <si>
    <t>TCS</t>
  </si>
  <si>
    <t>INFY</t>
  </si>
  <si>
    <t>HCL</t>
  </si>
  <si>
    <t>A/E Ratio</t>
  </si>
  <si>
    <t>Net Operating Cycle</t>
  </si>
  <si>
    <t xml:space="preserve">Comparison of TCS, Infosys and HCL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</si>
</sst>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165" fontId="0" fillId="0" borderId="0" xfId="2" applyNumberFormat="1" applyFont="1"/>
    <xf numFmtId="164" fontId="0" fillId="0" borderId="0" xfId="0" applyNumberFormat="1"/>
    <xf numFmtId="166" fontId="0" fillId="0" borderId="0" xfId="1" applyNumberFormat="1" applyFont="1"/>
    <xf numFmtId="164" fontId="0" fillId="0" borderId="0" xfId="3" applyFont="1"/>
    <xf numFmtId="166" fontId="0" fillId="0" borderId="0" xfId="3" applyNumberFormat="1" applyFont="1"/>
    <xf numFmtId="167" fontId="0" fillId="0" borderId="0" xfId="1" applyNumberFormat="1" applyFont="1"/>
    <xf numFmtId="0" fontId="0" fillId="3" borderId="0" xfId="0" applyFill="1"/>
    <xf numFmtId="165" fontId="0" fillId="3" borderId="0" xfId="2" applyNumberFormat="1" applyFont="1" applyFill="1"/>
    <xf numFmtId="164" fontId="0" fillId="3" borderId="0" xfId="0" applyNumberFormat="1" applyFill="1"/>
    <xf numFmtId="167" fontId="0" fillId="3" borderId="0" xfId="1" applyNumberFormat="1" applyFont="1" applyFill="1"/>
    <xf numFmtId="166" fontId="0" fillId="3" borderId="0" xfId="3" applyNumberFormat="1" applyFont="1" applyFill="1"/>
    <xf numFmtId="0" fontId="3" fillId="0" borderId="0" xfId="0" applyFont="1"/>
    <xf numFmtId="9" fontId="0" fillId="0" borderId="0" xfId="2" applyFont="1"/>
    <xf numFmtId="164" fontId="0" fillId="0" borderId="0" xfId="1" applyFont="1"/>
  </cellXfs>
  <cellStyles count="4">
    <cellStyle name="Comma" xfId="1" builtinId="3"/>
    <cellStyle name="Comma 2" xfId="3" xr:uid="{D059791A-A83D-4D2A-A8DE-18C2ACCA1504}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'Cross Section Analysis'!$A$3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Analysis'!$B$3:$K$3</c:f>
              <c:numCache>
                <c:formatCode>0%</c:formatCode>
                <c:ptCount val="10"/>
                <c:pt idx="0">
                  <c:v>0.3210399287683906</c:v>
                </c:pt>
                <c:pt idx="1">
                  <c:v>0.28669231794422717</c:v>
                </c:pt>
                <c:pt idx="2">
                  <c:v>0.30216593573793965</c:v>
                </c:pt>
                <c:pt idx="3">
                  <c:v>0.29898434366994853</c:v>
                </c:pt>
                <c:pt idx="4">
                  <c:v>0.28527921985703691</c:v>
                </c:pt>
                <c:pt idx="5">
                  <c:v>0.2906137662992293</c:v>
                </c:pt>
                <c:pt idx="6">
                  <c:v>0.28909688562036884</c:v>
                </c:pt>
                <c:pt idx="7">
                  <c:v>0.28965220457710489</c:v>
                </c:pt>
                <c:pt idx="8">
                  <c:v>0.29153811576732119</c:v>
                </c:pt>
                <c:pt idx="9">
                  <c:v>0.27394531403583117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F9-4D85-9A1D-B1DB1CC493E8}"/>
            </c:ext>
          </c:extLst>
        </c:ser>
        <c:ser>
          <c:idx val="1"/>
          <c:order val="1"/>
          <c:tx>
            <c:strRef>
              <c:f>'Cross Section Analysis'!$A$4</c:f>
              <c:strCache>
                <c:ptCount val="1"/>
                <c:pt idx="0">
                  <c:v>INFY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Analysis'!$B$4:$K$4</c:f>
              <c:numCache>
                <c:formatCode>0%</c:formatCode>
                <c:ptCount val="10"/>
                <c:pt idx="0">
                  <c:v>0.30407030702502036</c:v>
                </c:pt>
                <c:pt idx="1">
                  <c:v>0.32270172161623994</c:v>
                </c:pt>
                <c:pt idx="2">
                  <c:v>0.30809475145284543</c:v>
                </c:pt>
                <c:pt idx="3">
                  <c:v>0.30270920121900075</c:v>
                </c:pt>
                <c:pt idx="4">
                  <c:v>0.2997711050614224</c:v>
                </c:pt>
                <c:pt idx="5">
                  <c:v>0.26943441214628844</c:v>
                </c:pt>
                <c:pt idx="6">
                  <c:v>0.2678590507938543</c:v>
                </c:pt>
                <c:pt idx="7">
                  <c:v>0.29306633681688465</c:v>
                </c:pt>
                <c:pt idx="8">
                  <c:v>0.27260844306738963</c:v>
                </c:pt>
                <c:pt idx="9">
                  <c:v>0.25310434340460836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9-4D85-9A1D-B1DB1CC493E8}"/>
            </c:ext>
          </c:extLst>
        </c:ser>
        <c:ser>
          <c:idx val="2"/>
          <c:order val="2"/>
          <c:tx>
            <c:strRef>
              <c:f>'Cross Section Analysis'!$A$5</c:f>
              <c:strCache>
                <c:ptCount val="1"/>
                <c:pt idx="0">
                  <c:v>HCL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Analysis'!$B$5:$K$5</c:f>
              <c:numCache>
                <c:formatCode>0%</c:formatCode>
                <c:ptCount val="10"/>
                <c:pt idx="0">
                  <c:v>0.26546034771576549</c:v>
                </c:pt>
                <c:pt idx="1">
                  <c:v>0.2540134056787563</c:v>
                </c:pt>
                <c:pt idx="2">
                  <c:v>0.23508857328263996</c:v>
                </c:pt>
                <c:pt idx="3">
                  <c:v>0.23557346380774213</c:v>
                </c:pt>
                <c:pt idx="4">
                  <c:v>0.24085407054190236</c:v>
                </c:pt>
                <c:pt idx="5">
                  <c:v>0.24228450382923253</c:v>
                </c:pt>
                <c:pt idx="6">
                  <c:v>0.25124535185574964</c:v>
                </c:pt>
                <c:pt idx="7">
                  <c:v>0.27488008806646924</c:v>
                </c:pt>
                <c:pt idx="8">
                  <c:v>0.24903710878940935</c:v>
                </c:pt>
                <c:pt idx="9">
                  <c:v>0.23329507654599568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F9-4D85-9A1D-B1DB1CC49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699440"/>
        <c:axId val="187745440"/>
      </c:lineChart>
      <c:catAx>
        <c:axId val="95169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5440"/>
        <c:crosses val="autoZero"/>
        <c:auto val="1"/>
        <c:lblAlgn val="ctr"/>
        <c:lblOffset val="100"/>
        <c:noMultiLvlLbl val="0"/>
      </c:catAx>
      <c:valAx>
        <c:axId val="18774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6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'Cross Section Analysis'!$A$8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Analysis'!$B$8:$K$8</c:f>
              <c:numCache>
                <c:formatCode>0%</c:formatCode>
                <c:ptCount val="10"/>
                <c:pt idx="0">
                  <c:v>0.22965566994742712</c:v>
                </c:pt>
                <c:pt idx="1">
                  <c:v>0.20181528416690497</c:v>
                </c:pt>
                <c:pt idx="2">
                  <c:v>0.21722008413138816</c:v>
                </c:pt>
                <c:pt idx="3">
                  <c:v>0.21515382160131602</c:v>
                </c:pt>
                <c:pt idx="4">
                  <c:v>0.20376185441749642</c:v>
                </c:pt>
                <c:pt idx="5">
                  <c:v>0.20873625426134479</c:v>
                </c:pt>
                <c:pt idx="6">
                  <c:v>0.20019685404943638</c:v>
                </c:pt>
                <c:pt idx="7">
                  <c:v>0.19383065070437688</c:v>
                </c:pt>
                <c:pt idx="8">
                  <c:v>0.19577365506814048</c:v>
                </c:pt>
                <c:pt idx="9">
                  <c:v>0.18412280970000919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4B-4180-87F9-185A5C73B146}"/>
            </c:ext>
          </c:extLst>
        </c:ser>
        <c:ser>
          <c:idx val="1"/>
          <c:order val="1"/>
          <c:tx>
            <c:strRef>
              <c:f>'Cross Section Analysis'!$A$9</c:f>
              <c:strCache>
                <c:ptCount val="1"/>
                <c:pt idx="0">
                  <c:v>INFY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Analysis'!$B$9:$K$9</c:f>
              <c:numCache>
                <c:formatCode>0%</c:formatCode>
                <c:ptCount val="10"/>
                <c:pt idx="0">
                  <c:v>0.2018296494118984</c:v>
                </c:pt>
                <c:pt idx="1">
                  <c:v>0.2180126522053252</c:v>
                </c:pt>
                <c:pt idx="2">
                  <c:v>0.2057473192904318</c:v>
                </c:pt>
                <c:pt idx="3">
                  <c:v>0.20064584673022617</c:v>
                </c:pt>
                <c:pt idx="4">
                  <c:v>0.2170980455893706</c:v>
                </c:pt>
                <c:pt idx="5">
                  <c:v>0.18004371354769336</c:v>
                </c:pt>
                <c:pt idx="6">
                  <c:v>0.17729769002286472</c:v>
                </c:pt>
                <c:pt idx="7">
                  <c:v>0.18847213970566751</c:v>
                </c:pt>
                <c:pt idx="8">
                  <c:v>0.17839852827265684</c:v>
                </c:pt>
                <c:pt idx="9">
                  <c:v>0.16120507399577166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4B-4180-87F9-185A5C73B146}"/>
            </c:ext>
          </c:extLst>
        </c:ser>
        <c:ser>
          <c:idx val="2"/>
          <c:order val="2"/>
          <c:tx>
            <c:strRef>
              <c:f>'Cross Section Analysis'!$A$10</c:f>
              <c:strCache>
                <c:ptCount val="1"/>
                <c:pt idx="0">
                  <c:v>HCL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Analysis'!$B$10:$K$10</c:f>
              <c:numCache>
                <c:formatCode>0%</c:formatCode>
                <c:ptCount val="10"/>
                <c:pt idx="0">
                  <c:v>0.19833332622407687</c:v>
                </c:pt>
                <c:pt idx="1">
                  <c:v>0.19336518265527997</c:v>
                </c:pt>
                <c:pt idx="2">
                  <c:v>0.1750385777035714</c:v>
                </c:pt>
                <c:pt idx="3">
                  <c:v>0.17692165368089963</c:v>
                </c:pt>
                <c:pt idx="4">
                  <c:v>0.16836232359698064</c:v>
                </c:pt>
                <c:pt idx="5">
                  <c:v>0.16490141763076421</c:v>
                </c:pt>
                <c:pt idx="6">
                  <c:v>0.1551533010594261</c:v>
                </c:pt>
                <c:pt idx="7">
                  <c:v>0.14605666657929914</c:v>
                </c:pt>
                <c:pt idx="8">
                  <c:v>0.15566549044027769</c:v>
                </c:pt>
                <c:pt idx="9">
                  <c:v>0.14444530900461028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4B-4180-87F9-185A5C73B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81152"/>
        <c:axId val="182180752"/>
      </c:lineChart>
      <c:catAx>
        <c:axId val="16478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80752"/>
        <c:crosses val="autoZero"/>
        <c:auto val="1"/>
        <c:lblAlgn val="ctr"/>
        <c:lblOffset val="100"/>
        <c:noMultiLvlLbl val="0"/>
      </c:catAx>
      <c:valAx>
        <c:axId val="1821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8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'Cross Section Analysis'!$A$13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Analysis'!$B$13:$K$13</c:f>
              <c:numCache>
                <c:formatCode>0%</c:formatCode>
                <c:ptCount val="10"/>
                <c:pt idx="1">
                  <c:v>0.39054005364860589</c:v>
                </c:pt>
                <c:pt idx="2">
                  <c:v>0.39402702437674897</c:v>
                </c:pt>
                <c:pt idx="3">
                  <c:v>0.33275740948185839</c:v>
                </c:pt>
                <c:pt idx="4">
                  <c:v>0.30011039451513566</c:v>
                </c:pt>
                <c:pt idx="5">
                  <c:v>0.35880042638332316</c:v>
                </c:pt>
                <c:pt idx="6">
                  <c:v>0.37034492235811461</c:v>
                </c:pt>
                <c:pt idx="7">
                  <c:v>0.37740679751188488</c:v>
                </c:pt>
                <c:pt idx="8">
                  <c:v>0.43318602574680426</c:v>
                </c:pt>
                <c:pt idx="9">
                  <c:v>0.46557894969401054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3-4D20-B401-440ECEB63CD3}"/>
            </c:ext>
          </c:extLst>
        </c:ser>
        <c:ser>
          <c:idx val="1"/>
          <c:order val="1"/>
          <c:tx>
            <c:strRef>
              <c:f>'Cross Section Analysis'!$A$14</c:f>
              <c:strCache>
                <c:ptCount val="1"/>
                <c:pt idx="0">
                  <c:v>INFY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Analysis'!$B$14:$K$14</c:f>
              <c:numCache>
                <c:formatCode>0%</c:formatCode>
                <c:ptCount val="10"/>
                <c:pt idx="1">
                  <c:v>0.25973589738206704</c:v>
                </c:pt>
                <c:pt idx="2">
                  <c:v>0.2398470839260313</c:v>
                </c:pt>
                <c:pt idx="3">
                  <c:v>0.21958906414944235</c:v>
                </c:pt>
                <c:pt idx="4">
                  <c:v>0.23940674801726583</c:v>
                </c:pt>
                <c:pt idx="5">
                  <c:v>0.23711229123374125</c:v>
                </c:pt>
                <c:pt idx="6">
                  <c:v>0.25363393198318684</c:v>
                </c:pt>
                <c:pt idx="7">
                  <c:v>0.27135304923366005</c:v>
                </c:pt>
                <c:pt idx="8">
                  <c:v>0.28993299151575552</c:v>
                </c:pt>
                <c:pt idx="9">
                  <c:v>0.31802073503111572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3-4D20-B401-440ECEB63CD3}"/>
            </c:ext>
          </c:extLst>
        </c:ser>
        <c:ser>
          <c:idx val="2"/>
          <c:order val="2"/>
          <c:tx>
            <c:strRef>
              <c:f>'Cross Section Analysis'!$A$15</c:f>
              <c:strCache>
                <c:ptCount val="1"/>
                <c:pt idx="0">
                  <c:v>HCL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Analysis'!$B$15:$K$15</c:f>
              <c:numCache>
                <c:formatCode>0%</c:formatCode>
                <c:ptCount val="10"/>
                <c:pt idx="1">
                  <c:v>0.33324786262504075</c:v>
                </c:pt>
                <c:pt idx="2">
                  <c:v>0.21586019097267375</c:v>
                </c:pt>
                <c:pt idx="3">
                  <c:v>0.28344907394065189</c:v>
                </c:pt>
                <c:pt idx="4">
                  <c:v>0.25093514415606838</c:v>
                </c:pt>
                <c:pt idx="5">
                  <c:v>0.25997045790251105</c:v>
                </c:pt>
                <c:pt idx="6">
                  <c:v>0.23806653030466143</c:v>
                </c:pt>
                <c:pt idx="7">
                  <c:v>0.19990493529322081</c:v>
                </c:pt>
                <c:pt idx="8">
                  <c:v>0.22113557433982045</c:v>
                </c:pt>
                <c:pt idx="9">
                  <c:v>0.23313239772691596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3-4D20-B401-440ECEB63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97472"/>
        <c:axId val="190055040"/>
      </c:lineChart>
      <c:catAx>
        <c:axId val="16479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55040"/>
        <c:crosses val="autoZero"/>
        <c:auto val="1"/>
        <c:lblAlgn val="ctr"/>
        <c:lblOffset val="100"/>
        <c:noMultiLvlLbl val="0"/>
      </c:catAx>
      <c:valAx>
        <c:axId val="1900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9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</a:t>
            </a:r>
            <a:r>
              <a:rPr lang="en-US" baseline="0"/>
              <a:t>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'Cross Section Analysis'!$A$18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Analysis'!$B$18:$K$18</c:f>
              <c:numCache>
                <c:formatCode>_(* #,##0.00_);_(* \(#,##0.00\);_(* "-"??_);_(@_)</c:formatCode>
                <c:ptCount val="10"/>
                <c:pt idx="0">
                  <c:v>0.99553295371948614</c:v>
                </c:pt>
                <c:pt idx="1">
                  <c:v>0.98673113419272529</c:v>
                </c:pt>
                <c:pt idx="2">
                  <c:v>1.8798252938531697</c:v>
                </c:pt>
                <c:pt idx="3">
                  <c:v>3.1549751929437706</c:v>
                </c:pt>
                <c:pt idx="4">
                  <c:v>2.404532196544761</c:v>
                </c:pt>
                <c:pt idx="5">
                  <c:v>1.899067197971382</c:v>
                </c:pt>
                <c:pt idx="6">
                  <c:v>1.3232076866223208</c:v>
                </c:pt>
                <c:pt idx="7">
                  <c:v>1.1268921095008051</c:v>
                </c:pt>
                <c:pt idx="8">
                  <c:v>1.1447899695402706</c:v>
                </c:pt>
                <c:pt idx="9">
                  <c:v>1.1003489600073466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4-4AF8-872B-5405545ED777}"/>
            </c:ext>
          </c:extLst>
        </c:ser>
        <c:ser>
          <c:idx val="1"/>
          <c:order val="1"/>
          <c:tx>
            <c:strRef>
              <c:f>'Cross Section Analysis'!$A$19</c:f>
              <c:strCache>
                <c:ptCount val="1"/>
                <c:pt idx="0">
                  <c:v>INFY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Analysis'!$B$19:$K$19</c:f>
              <c:numCache>
                <c:formatCode>_(* #,##0.00_);_(* \(#,##0.00\);_(* "-"??_);_(@_)</c:formatCode>
                <c:ptCount val="10"/>
                <c:pt idx="0">
                  <c:v>2.4082786135815808</c:v>
                </c:pt>
                <c:pt idx="1">
                  <c:v>2.0150293491582274</c:v>
                </c:pt>
                <c:pt idx="2">
                  <c:v>2.4754135508724224</c:v>
                </c:pt>
                <c:pt idx="3">
                  <c:v>2.3260543780774996</c:v>
                </c:pt>
                <c:pt idx="4">
                  <c:v>1.859269762495569</c:v>
                </c:pt>
                <c:pt idx="5">
                  <c:v>1.405461959437708</c:v>
                </c:pt>
                <c:pt idx="6">
                  <c:v>1.1173762945914845</c:v>
                </c:pt>
                <c:pt idx="7">
                  <c:v>1.1337104546406871</c:v>
                </c:pt>
                <c:pt idx="8">
                  <c:v>0.71853703538374547</c:v>
                </c:pt>
                <c:pt idx="9">
                  <c:v>0.48695962843872814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B4-4AF8-872B-5405545ED777}"/>
            </c:ext>
          </c:extLst>
        </c:ser>
        <c:ser>
          <c:idx val="2"/>
          <c:order val="2"/>
          <c:tx>
            <c:strRef>
              <c:f>'Cross Section Analysis'!$A$20</c:f>
              <c:strCache>
                <c:ptCount val="1"/>
                <c:pt idx="0">
                  <c:v>HCL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Analysis'!$B$20:$K$20</c:f>
              <c:numCache>
                <c:formatCode>_(* #,##0.00_);_(* \(#,##0.00\);_(* "-"??_);_(@_)</c:formatCode>
                <c:ptCount val="10"/>
                <c:pt idx="0">
                  <c:v>1.1800397375068161</c:v>
                </c:pt>
                <c:pt idx="1">
                  <c:v>1.235860396457191</c:v>
                </c:pt>
                <c:pt idx="2">
                  <c:v>1.1544314485900973</c:v>
                </c:pt>
                <c:pt idx="3">
                  <c:v>1.2013676019806649</c:v>
                </c:pt>
                <c:pt idx="4">
                  <c:v>0.78645447816432268</c:v>
                </c:pt>
                <c:pt idx="5">
                  <c:v>0.97554374093765106</c:v>
                </c:pt>
                <c:pt idx="6">
                  <c:v>0.54577384482050817</c:v>
                </c:pt>
                <c:pt idx="7">
                  <c:v>1.3869110874955721</c:v>
                </c:pt>
                <c:pt idx="8">
                  <c:v>1.5896075458986021</c:v>
                </c:pt>
                <c:pt idx="9">
                  <c:v>1.381492168178071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B4-4AF8-872B-5405545ED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72512"/>
        <c:axId val="182298608"/>
      </c:lineChart>
      <c:catAx>
        <c:axId val="16477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8608"/>
        <c:crosses val="autoZero"/>
        <c:auto val="1"/>
        <c:lblAlgn val="ctr"/>
        <c:lblOffset val="100"/>
        <c:noMultiLvlLbl val="0"/>
      </c:catAx>
      <c:valAx>
        <c:axId val="18229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7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A/E :</a:t>
            </a:r>
            <a:r>
              <a:rPr lang="en-US" baseline="0"/>
              <a:t> Financial Leverage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'Cross Section Analysis'!$A$23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Analysis'!$B$23:$K$23</c:f>
              <c:numCache>
                <c:formatCode>_(* #,##0.00_);_(* \(#,##0.00\);_(* "-"??_);_(@_)</c:formatCode>
                <c:ptCount val="10"/>
                <c:pt idx="0">
                  <c:v>1.3391843134897374</c:v>
                </c:pt>
                <c:pt idx="1">
                  <c:v>1.4164287210128101</c:v>
                </c:pt>
                <c:pt idx="2">
                  <c:v>1.236101194226273</c:v>
                </c:pt>
                <c:pt idx="3">
                  <c:v>1.1819473319473319</c:v>
                </c:pt>
                <c:pt idx="4">
                  <c:v>1.2291125920729569</c:v>
                </c:pt>
                <c:pt idx="5">
                  <c:v>1.2669885093271338</c:v>
                </c:pt>
                <c:pt idx="6">
                  <c:v>1.4173618567770712</c:v>
                </c:pt>
                <c:pt idx="7">
                  <c:v>1.4923083987693437</c:v>
                </c:pt>
                <c:pt idx="8">
                  <c:v>1.5685061104556686</c:v>
                </c:pt>
                <c:pt idx="9">
                  <c:v>1.5663333552617151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E6-483A-8449-6F31EFA7B34F}"/>
            </c:ext>
          </c:extLst>
        </c:ser>
        <c:ser>
          <c:idx val="1"/>
          <c:order val="1"/>
          <c:tx>
            <c:strRef>
              <c:f>'Cross Section Analysis'!$A$24</c:f>
              <c:strCache>
                <c:ptCount val="1"/>
                <c:pt idx="0">
                  <c:v>INFY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Analysis'!$B$24:$K$24</c:f>
              <c:numCache>
                <c:formatCode>_(* #,##0.00_);_(* \(#,##0.00\);_(* "-"??_);_(@_)</c:formatCode>
                <c:ptCount val="10"/>
                <c:pt idx="0">
                  <c:v>1.2792724006287897</c:v>
                </c:pt>
                <c:pt idx="1">
                  <c:v>1.3065476190476191</c:v>
                </c:pt>
                <c:pt idx="2">
                  <c:v>1.2162801243845556</c:v>
                </c:pt>
                <c:pt idx="3">
                  <c:v>1.2053579194572497</c:v>
                </c:pt>
                <c:pt idx="4">
                  <c:v>1.2221828599593372</c:v>
                </c:pt>
                <c:pt idx="5">
                  <c:v>1.2932037042734517</c:v>
                </c:pt>
                <c:pt idx="6">
                  <c:v>1.3942044833242209</c:v>
                </c:pt>
                <c:pt idx="7">
                  <c:v>1.4002109869500665</c:v>
                </c:pt>
                <c:pt idx="8">
                  <c:v>1.5412617513467837</c:v>
                </c:pt>
                <c:pt idx="9">
                  <c:v>1.6438551355630318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E6-483A-8449-6F31EFA7B34F}"/>
            </c:ext>
          </c:extLst>
        </c:ser>
        <c:ser>
          <c:idx val="2"/>
          <c:order val="2"/>
          <c:tx>
            <c:strRef>
              <c:f>'Cross Section Analysis'!$A$25</c:f>
              <c:strCache>
                <c:ptCount val="1"/>
                <c:pt idx="0">
                  <c:v>HCL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Analysis'!$B$25:$K$25</c:f>
              <c:numCache>
                <c:formatCode>_(* #,##0.00_);_(* \(#,##0.00\);_(* "-"??_);_(@_)</c:formatCode>
                <c:ptCount val="10"/>
                <c:pt idx="0">
                  <c:v>1.52901746096834</c:v>
                </c:pt>
                <c:pt idx="1">
                  <c:v>1.4500088865045262</c:v>
                </c:pt>
                <c:pt idx="2">
                  <c:v>1.4253102103767812</c:v>
                </c:pt>
                <c:pt idx="3">
                  <c:v>1.3816194674234648</c:v>
                </c:pt>
                <c:pt idx="4">
                  <c:v>1.318886384873303</c:v>
                </c:pt>
                <c:pt idx="5">
                  <c:v>1.4070510501820637</c:v>
                </c:pt>
                <c:pt idx="6">
                  <c:v>1.6106065615215572</c:v>
                </c:pt>
                <c:pt idx="7">
                  <c:v>1.4321593821776906</c:v>
                </c:pt>
                <c:pt idx="8">
                  <c:v>1.4340708963648678</c:v>
                </c:pt>
                <c:pt idx="9">
                  <c:v>1.4258845836264107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E6-483A-8449-6F31EFA7B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62592"/>
        <c:axId val="22417760"/>
      </c:lineChart>
      <c:catAx>
        <c:axId val="15886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7760"/>
        <c:crosses val="autoZero"/>
        <c:auto val="1"/>
        <c:lblAlgn val="ctr"/>
        <c:lblOffset val="100"/>
        <c:noMultiLvlLbl val="0"/>
      </c:catAx>
      <c:valAx>
        <c:axId val="224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 Turnover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'Cross Section Analysis'!$A$28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Analysis'!$B$28:$K$28</c:f>
              <c:numCache>
                <c:formatCode>_(* #,##0.00_);_(* \(#,##0.00\);_(* "-"??_);_(@_)</c:formatCode>
                <c:ptCount val="10"/>
                <c:pt idx="1">
                  <c:v>1.4037851711311489</c:v>
                </c:pt>
                <c:pt idx="2">
                  <c:v>1.3827207062580458</c:v>
                </c:pt>
                <c:pt idx="3">
                  <c:v>1.2819686922947793</c:v>
                </c:pt>
                <c:pt idx="4">
                  <c:v>1.2218896263840084</c:v>
                </c:pt>
                <c:pt idx="5">
                  <c:v>1.3767617690969607</c:v>
                </c:pt>
                <c:pt idx="6">
                  <c:v>1.3805684105272604</c:v>
                </c:pt>
                <c:pt idx="7">
                  <c:v>1.3378886258955989</c:v>
                </c:pt>
                <c:pt idx="8">
                  <c:v>1.4452597853209113</c:v>
                </c:pt>
                <c:pt idx="9">
                  <c:v>1.6132537889866554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4-46A7-9A0B-AE8055E475E3}"/>
            </c:ext>
          </c:extLst>
        </c:ser>
        <c:ser>
          <c:idx val="1"/>
          <c:order val="1"/>
          <c:tx>
            <c:strRef>
              <c:f>'Cross Section Analysis'!$A$29</c:f>
              <c:strCache>
                <c:ptCount val="1"/>
                <c:pt idx="0">
                  <c:v>INFY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Analysis'!$B$29:$K$29</c:f>
              <c:numCache>
                <c:formatCode>_(* #,##0.00_);_(* \(#,##0.00\);_(* "-"??_);_(@_)</c:formatCode>
                <c:ptCount val="10"/>
                <c:pt idx="1">
                  <c:v>0.92083891120035699</c:v>
                </c:pt>
                <c:pt idx="2">
                  <c:v>0.92739785128760066</c:v>
                </c:pt>
                <c:pt idx="3">
                  <c:v>0.90408604324911845</c:v>
                </c:pt>
                <c:pt idx="4">
                  <c:v>0.9087306227191887</c:v>
                </c:pt>
                <c:pt idx="5">
                  <c:v>1.0471131781048251</c:v>
                </c:pt>
                <c:pt idx="6">
                  <c:v>1.064378560949814</c:v>
                </c:pt>
                <c:pt idx="7">
                  <c:v>1.0302793122306346</c:v>
                </c:pt>
                <c:pt idx="8">
                  <c:v>1.1053870852657866</c:v>
                </c:pt>
                <c:pt idx="9">
                  <c:v>1.2387278566248834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4-46A7-9A0B-AE8055E475E3}"/>
            </c:ext>
          </c:extLst>
        </c:ser>
        <c:ser>
          <c:idx val="2"/>
          <c:order val="2"/>
          <c:tx>
            <c:strRef>
              <c:f>'Cross Section Analysis'!$A$30</c:f>
              <c:strCache>
                <c:ptCount val="1"/>
                <c:pt idx="0">
                  <c:v>HCL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Analysis'!$B$30:$K$30</c:f>
              <c:numCache>
                <c:formatCode>_(* #,##0.00_);_(* \(#,##0.00\);_(* "-"??_);_(@_)</c:formatCode>
                <c:ptCount val="10"/>
                <c:pt idx="1">
                  <c:v>1.1603235355624801</c:v>
                </c:pt>
                <c:pt idx="2">
                  <c:v>0.85826142346873602</c:v>
                </c:pt>
                <c:pt idx="3">
                  <c:v>1.143161313520386</c:v>
                </c:pt>
                <c:pt idx="4">
                  <c:v>1.1050335463088394</c:v>
                </c:pt>
                <c:pt idx="5">
                  <c:v>1.1542440143692754</c:v>
                </c:pt>
                <c:pt idx="6">
                  <c:v>1.0096480788847331</c:v>
                </c:pt>
                <c:pt idx="7">
                  <c:v>0.90374616559875875</c:v>
                </c:pt>
                <c:pt idx="8">
                  <c:v>0.99124411320927253</c:v>
                </c:pt>
                <c:pt idx="9">
                  <c:v>1.1287636341678973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A4-46A7-9A0B-AE8055E47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87872"/>
        <c:axId val="190327552"/>
      </c:lineChart>
      <c:catAx>
        <c:axId val="16478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27552"/>
        <c:crosses val="autoZero"/>
        <c:auto val="1"/>
        <c:lblAlgn val="ctr"/>
        <c:lblOffset val="100"/>
        <c:noMultiLvlLbl val="0"/>
      </c:catAx>
      <c:valAx>
        <c:axId val="19032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8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Operating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'Cross Section Analysis'!$A$33</c:f>
              <c:strCache>
                <c:ptCount val="1"/>
                <c:pt idx="0">
                  <c:v>TCS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Analysis'!$B$33:$K$33</c:f>
              <c:numCache>
                <c:formatCode>_(* #,##0_);_(* \(#,##0\);_(* "-"??_);_(@_)</c:formatCode>
                <c:ptCount val="10"/>
                <c:pt idx="1">
                  <c:v>-34.473416413545309</c:v>
                </c:pt>
                <c:pt idx="2">
                  <c:v>-368.70775669811383</c:v>
                </c:pt>
                <c:pt idx="3">
                  <c:v>-241.36341415650136</c:v>
                </c:pt>
                <c:pt idx="4">
                  <c:v>-191.05747265104594</c:v>
                </c:pt>
                <c:pt idx="5">
                  <c:v>-197.93938063749317</c:v>
                </c:pt>
                <c:pt idx="6">
                  <c:v>-236.31282347520155</c:v>
                </c:pt>
                <c:pt idx="7">
                  <c:v>-258.29375722004585</c:v>
                </c:pt>
                <c:pt idx="8">
                  <c:v>-324.01996365561126</c:v>
                </c:pt>
                <c:pt idx="9">
                  <c:v>-300.92346943467004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2-4923-8DBB-CDC9AB1D8186}"/>
            </c:ext>
          </c:extLst>
        </c:ser>
        <c:ser>
          <c:idx val="1"/>
          <c:order val="1"/>
          <c:tx>
            <c:strRef>
              <c:f>'Cross Section Analysis'!$A$34</c:f>
              <c:strCache>
                <c:ptCount val="1"/>
                <c:pt idx="0">
                  <c:v>INFY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Analysis'!$B$34:$K$34</c:f>
              <c:numCache>
                <c:formatCode>_(* #,##0_);_(* \(#,##0\);_(* "-"??_);_(@_)</c:formatCode>
                <c:ptCount val="10"/>
                <c:pt idx="1">
                  <c:v>46.715583400622251</c:v>
                </c:pt>
                <c:pt idx="2">
                  <c:v>40.962221578930126</c:v>
                </c:pt>
                <c:pt idx="3">
                  <c:v>38.58682862241028</c:v>
                </c:pt>
                <c:pt idx="4">
                  <c:v>34.12838404596252</c:v>
                </c:pt>
                <c:pt idx="5">
                  <c:v>8.7879439038869123</c:v>
                </c:pt>
                <c:pt idx="6">
                  <c:v>-17.95104932584259</c:v>
                </c:pt>
                <c:pt idx="7">
                  <c:v>-14.749253805370742</c:v>
                </c:pt>
                <c:pt idx="8">
                  <c:v>-1.8756261438829753</c:v>
                </c:pt>
                <c:pt idx="9">
                  <c:v>-1.0366043785369428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2-4923-8DBB-CDC9AB1D8186}"/>
            </c:ext>
          </c:extLst>
        </c:ser>
        <c:ser>
          <c:idx val="2"/>
          <c:order val="2"/>
          <c:tx>
            <c:strRef>
              <c:f>'Cross Section Analysis'!$A$35</c:f>
              <c:strCache>
                <c:ptCount val="1"/>
                <c:pt idx="0">
                  <c:v>HCL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'Cross Section Analysis'!$B$1:$K$1</c:f>
              <c:strCache>
                <c:ptCount val="10"/>
                <c:pt idx="0">
                  <c:v>FY 2014</c:v>
                </c:pt>
                <c:pt idx="1">
                  <c:v>FY 2015</c:v>
                </c:pt>
                <c:pt idx="2">
                  <c:v>FY 2016</c:v>
                </c:pt>
                <c:pt idx="3">
                  <c:v>FY 2017</c:v>
                </c:pt>
                <c:pt idx="4">
                  <c:v>FY 2018</c:v>
                </c:pt>
                <c:pt idx="5">
                  <c:v>FY 2019</c:v>
                </c:pt>
                <c:pt idx="6">
                  <c:v>FY 2020</c:v>
                </c:pt>
                <c:pt idx="7">
                  <c:v>FY 2021</c:v>
                </c:pt>
                <c:pt idx="8">
                  <c:v>FY 2022</c:v>
                </c:pt>
                <c:pt idx="9">
                  <c:v>FY 2023</c:v>
                </c:pt>
              </c:strCache>
            </c:strRef>
          </c:cat>
          <c:val>
            <c:numRef>
              <c:f>'Cross Section Analysis'!$B$35:$K$35</c:f>
              <c:numCache>
                <c:formatCode>_(* #,##0_);_(* \(#,##0\);_(* "-"??_);_(@_)</c:formatCode>
                <c:ptCount val="10"/>
                <c:pt idx="1">
                  <c:v>-0.22449532749973855</c:v>
                </c:pt>
                <c:pt idx="2">
                  <c:v>21.072594155795784</c:v>
                </c:pt>
                <c:pt idx="3">
                  <c:v>0.66888018980834829</c:v>
                </c:pt>
                <c:pt idx="4">
                  <c:v>-6.89125473804026</c:v>
                </c:pt>
                <c:pt idx="5">
                  <c:v>13.052967601096043</c:v>
                </c:pt>
                <c:pt idx="6">
                  <c:v>22.837192274786872</c:v>
                </c:pt>
                <c:pt idx="7">
                  <c:v>-21.219131689937953</c:v>
                </c:pt>
                <c:pt idx="8">
                  <c:v>-57.691237305538834</c:v>
                </c:pt>
                <c:pt idx="9">
                  <c:v>-37.018925697326367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2-4923-8DBB-CDC9AB1D8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794592"/>
        <c:axId val="160151824"/>
      </c:lineChart>
      <c:catAx>
        <c:axId val="16479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1824"/>
        <c:crosses val="autoZero"/>
        <c:auto val="1"/>
        <c:lblAlgn val="ctr"/>
        <c:lblOffset val="100"/>
        <c:noMultiLvlLbl val="0"/>
      </c:catAx>
      <c:valAx>
        <c:axId val="16015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9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122915</xdr:colOff>
      <xdr:row>1</xdr:row>
      <xdr:rowOff>2354</xdr:rowOff>
    </xdr:from>
    <xdr:to>
      <xdr:col>17</xdr:col>
      <xdr:colOff>50097</xdr:colOff>
      <xdr:row>11</xdr:row>
      <xdr:rowOff>106036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44EACC-1E32-C7D8-219C-23156E83C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543847</xdr:colOff>
      <xdr:row>0</xdr:row>
      <xdr:rowOff>152077</xdr:rowOff>
    </xdr:from>
    <xdr:to>
      <xdr:col>23</xdr:col>
      <xdr:colOff>471029</xdr:colOff>
      <xdr:row>11</xdr:row>
      <xdr:rowOff>79032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10E53A-AC28-CE21-C144-FB1EF1AC1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140990</xdr:colOff>
      <xdr:row>13</xdr:row>
      <xdr:rowOff>91792</xdr:rowOff>
    </xdr:from>
    <xdr:to>
      <xdr:col>17</xdr:col>
      <xdr:colOff>68172</xdr:colOff>
      <xdr:row>23</xdr:row>
      <xdr:rowOff>165639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19FBA4-4A46-44FA-00A5-171C93C68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224848</xdr:colOff>
      <xdr:row>13</xdr:row>
      <xdr:rowOff>86529</xdr:rowOff>
    </xdr:from>
    <xdr:to>
      <xdr:col>24</xdr:col>
      <xdr:colOff>152029</xdr:colOff>
      <xdr:row>22</xdr:row>
      <xdr:rowOff>128326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82D22C-35BF-1DE6-8781-B68BF0678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149402</xdr:colOff>
      <xdr:row>24</xdr:row>
      <xdr:rowOff>164502</xdr:rowOff>
    </xdr:from>
    <xdr:to>
      <xdr:col>17</xdr:col>
      <xdr:colOff>76584</xdr:colOff>
      <xdr:row>37</xdr:row>
      <xdr:rowOff>74222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50F3E7-F759-6929-CA75-10D2FD5E2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9709</xdr:colOff>
      <xdr:row>23</xdr:row>
      <xdr:rowOff>179536</xdr:rowOff>
    </xdr:from>
    <xdr:to>
      <xdr:col>23</xdr:col>
      <xdr:colOff>543027</xdr:colOff>
      <xdr:row>37</xdr:row>
      <xdr:rowOff>98961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140519-BB44-2F5D-04DB-6C68148A5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267194</xdr:colOff>
      <xdr:row>38</xdr:row>
      <xdr:rowOff>75052</xdr:rowOff>
    </xdr:from>
    <xdr:to>
      <xdr:col>17</xdr:col>
      <xdr:colOff>194376</xdr:colOff>
      <xdr:row>49</xdr:row>
      <xdr:rowOff>153390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E8DC4F8-63E0-B933-4B34-63CB2F22C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470065</xdr:colOff>
      <xdr:row>38</xdr:row>
      <xdr:rowOff>98962</xdr:rowOff>
    </xdr:from>
    <xdr:to>
      <xdr:col>2</xdr:col>
      <xdr:colOff>432954</xdr:colOff>
      <xdr:row>40</xdr:row>
      <xdr:rowOff>74222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22C7B9-9E3B-A99E-946A-C97D271D0012}"/>
            </a:ext>
          </a:extLst>
        </xdr:cNvPr>
        <xdr:cNvSpPr txBox="1"/>
      </xdr:nvSpPr>
      <xdr:spPr>
        <a:xfrm>
          <a:off x="470065" y="7149936"/>
          <a:ext cx="2684318" cy="3463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Created By Jenil Nitin</a:t>
          </a:r>
          <a:r>
            <a:rPr lang="en-IN" sz="1200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Gor</a:t>
          </a:r>
          <a:endParaRPr lang="en-IN" sz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be4d27955ad8845/Documents/TCS%20-%20analysed.xlsx" TargetMode="External"/><Relationship Id="rId2" Type="http://schemas.openxmlformats.org/officeDocument/2006/relationships/externalLinkPath" Target="https://d.docs.live.net/1be4d27955ad8845/Documents/TCS%20-%20analysed.xlsx" TargetMode="External"/><Relationship Id="rId1" Type="http://schemas.openxmlformats.org/officeDocument/2006/relationships/externalLinkPath" Target="/1be4d27955ad8845/Documents/TCS%20-%20analysed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be4d27955ad8845/Documents/INFY%20-%20analysed%20.xlsx" TargetMode="External"/><Relationship Id="rId2" Type="http://schemas.openxmlformats.org/officeDocument/2006/relationships/externalLinkPath" Target="https://d.docs.live.net/1be4d27955ad8845/Documents/INFY%20-%20analysed%20.xlsx" TargetMode="External"/><Relationship Id="rId1" Type="http://schemas.openxmlformats.org/officeDocument/2006/relationships/externalLinkPath" Target="/1be4d27955ad8845/Documents/INFY%20-%20analysed%20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be4d27955ad8845/Documents/HCLTECH%20.xlsx" TargetMode="External"/><Relationship Id="rId2" Type="http://schemas.openxmlformats.org/officeDocument/2006/relationships/externalLinkPath" Target="https://d.docs.live.net/1be4d27955ad8845/Documents/HCLTECH%20.xlsx" TargetMode="External"/><Relationship Id="rId1" Type="http://schemas.openxmlformats.org/officeDocument/2006/relationships/externalLinkPath" Target="/1be4d27955ad8845/Documents/HCLTEC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S"/>
      <sheetName val="BS"/>
      <sheetName val="CFS"/>
      <sheetName val="Ratio Analysis - TCS"/>
    </sheetNames>
    <sheetDataSet>
      <sheetData sheetId="0">
        <row r="6">
          <cell r="C6">
            <v>98368.07</v>
          </cell>
          <cell r="D6">
            <v>111730</v>
          </cell>
          <cell r="E6">
            <v>122187</v>
          </cell>
          <cell r="F6">
            <v>126746</v>
          </cell>
          <cell r="G6">
            <v>150774</v>
          </cell>
          <cell r="H6">
            <v>161541</v>
          </cell>
          <cell r="I6">
            <v>167311</v>
          </cell>
          <cell r="J6">
            <v>195772</v>
          </cell>
          <cell r="K6">
            <v>228907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94</v>
          </cell>
          <cell r="F8">
            <v>86</v>
          </cell>
          <cell r="G8">
            <v>40</v>
          </cell>
          <cell r="H8">
            <v>18</v>
          </cell>
          <cell r="I8">
            <v>14</v>
          </cell>
          <cell r="J8">
            <v>29</v>
          </cell>
          <cell r="K8">
            <v>37</v>
          </cell>
        </row>
        <row r="9">
          <cell r="B9">
            <v>527.1</v>
          </cell>
          <cell r="C9">
            <v>573.87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>
            <v>29860.01</v>
          </cell>
          <cell r="C10">
            <v>38701.15</v>
          </cell>
          <cell r="D10">
            <v>55348</v>
          </cell>
          <cell r="E10">
            <v>61621</v>
          </cell>
          <cell r="F10">
            <v>66396</v>
          </cell>
          <cell r="G10">
            <v>78246</v>
          </cell>
          <cell r="H10">
            <v>85952</v>
          </cell>
          <cell r="I10">
            <v>91814</v>
          </cell>
          <cell r="J10">
            <v>107554</v>
          </cell>
          <cell r="K10">
            <v>127522</v>
          </cell>
        </row>
        <row r="11">
          <cell r="B11">
            <v>4278.5200000000004</v>
          </cell>
          <cell r="C11">
            <v>4842.25</v>
          </cell>
          <cell r="D11">
            <v>15589</v>
          </cell>
          <cell r="E11">
            <v>16392</v>
          </cell>
          <cell r="F11">
            <v>16808</v>
          </cell>
          <cell r="G11">
            <v>20387</v>
          </cell>
          <cell r="H11">
            <v>20527</v>
          </cell>
          <cell r="I11">
            <v>18322</v>
          </cell>
          <cell r="J11">
            <v>23187</v>
          </cell>
          <cell r="K11">
            <v>28913</v>
          </cell>
        </row>
        <row r="12">
          <cell r="B12">
            <v>21990.94</v>
          </cell>
          <cell r="C12">
            <v>26049.43</v>
          </cell>
          <cell r="D12">
            <v>7032</v>
          </cell>
          <cell r="E12">
            <v>7548</v>
          </cell>
          <cell r="F12">
            <v>7298</v>
          </cell>
          <cell r="G12">
            <v>8284</v>
          </cell>
          <cell r="H12">
            <v>8343</v>
          </cell>
          <cell r="I12">
            <v>8699</v>
          </cell>
          <cell r="J12">
            <v>7927</v>
          </cell>
          <cell r="K12">
            <v>9727</v>
          </cell>
        </row>
        <row r="16">
          <cell r="B16">
            <v>25440.38</v>
          </cell>
          <cell r="C16">
            <v>26402.68</v>
          </cell>
          <cell r="D16">
            <v>31873</v>
          </cell>
          <cell r="E16">
            <v>34545</v>
          </cell>
          <cell r="F16">
            <v>34144</v>
          </cell>
          <cell r="G16">
            <v>41761</v>
          </cell>
          <cell r="H16">
            <v>43172</v>
          </cell>
          <cell r="I16">
            <v>44397</v>
          </cell>
          <cell r="J16">
            <v>52471</v>
          </cell>
          <cell r="K16">
            <v>57686</v>
          </cell>
        </row>
        <row r="17">
          <cell r="B17">
            <v>38.520000000000003</v>
          </cell>
          <cell r="C17">
            <v>104.19</v>
          </cell>
          <cell r="D17">
            <v>33</v>
          </cell>
          <cell r="E17">
            <v>32</v>
          </cell>
          <cell r="F17">
            <v>52</v>
          </cell>
          <cell r="G17">
            <v>198</v>
          </cell>
          <cell r="H17">
            <v>924</v>
          </cell>
          <cell r="I17">
            <v>637</v>
          </cell>
          <cell r="J17">
            <v>784</v>
          </cell>
          <cell r="K17">
            <v>779</v>
          </cell>
        </row>
        <row r="20">
          <cell r="C20">
            <v>19852.18</v>
          </cell>
          <cell r="D20">
            <v>24270</v>
          </cell>
          <cell r="E20">
            <v>26289</v>
          </cell>
          <cell r="F20">
            <v>25826</v>
          </cell>
          <cell r="G20">
            <v>31472</v>
          </cell>
          <cell r="H20">
            <v>32340</v>
          </cell>
          <cell r="I20">
            <v>32430</v>
          </cell>
          <cell r="J20">
            <v>38327</v>
          </cell>
          <cell r="K20">
            <v>42147</v>
          </cell>
        </row>
        <row r="42">
          <cell r="B42">
            <v>0.3210399287683906</v>
          </cell>
          <cell r="C42">
            <v>0.28669231794422717</v>
          </cell>
          <cell r="D42">
            <v>0.30216593573793965</v>
          </cell>
          <cell r="E42">
            <v>0.29898434366994853</v>
          </cell>
          <cell r="F42">
            <v>0.28527921985703691</v>
          </cell>
          <cell r="G42">
            <v>0.2906137662992293</v>
          </cell>
          <cell r="H42">
            <v>0.28909688562036884</v>
          </cell>
          <cell r="I42">
            <v>0.28965220457710489</v>
          </cell>
          <cell r="J42">
            <v>0.29153811576732119</v>
          </cell>
          <cell r="K42">
            <v>0.27394531403583117</v>
          </cell>
        </row>
        <row r="43">
          <cell r="B43">
            <v>0.30487200719985713</v>
          </cell>
          <cell r="C43">
            <v>0.26840701459325161</v>
          </cell>
          <cell r="D43">
            <v>0.28526805692293922</v>
          </cell>
          <cell r="E43">
            <v>0.28272238454172705</v>
          </cell>
          <cell r="F43">
            <v>0.26938917204487717</v>
          </cell>
          <cell r="G43">
            <v>0.2769774629578044</v>
          </cell>
          <cell r="H43">
            <v>0.26725103843606268</v>
          </cell>
          <cell r="I43">
            <v>0.26535613318909096</v>
          </cell>
          <cell r="J43">
            <v>0.26802096316122836</v>
          </cell>
          <cell r="K43">
            <v>0.25200627329002606</v>
          </cell>
        </row>
        <row r="44">
          <cell r="B44">
            <v>0.30441039185773811</v>
          </cell>
          <cell r="C44">
            <v>0.26734782943286373</v>
          </cell>
          <cell r="D44">
            <v>0.2849727020495838</v>
          </cell>
          <cell r="E44">
            <v>0.28246049088691921</v>
          </cell>
          <cell r="F44">
            <v>0.26897890268726427</v>
          </cell>
          <cell r="G44">
            <v>0.27566423919243371</v>
          </cell>
          <cell r="H44">
            <v>0.26153112832036451</v>
          </cell>
          <cell r="I44">
            <v>0.2615488521376359</v>
          </cell>
          <cell r="J44">
            <v>0.26401630468095538</v>
          </cell>
          <cell r="K44">
            <v>0.24860314450846852</v>
          </cell>
        </row>
        <row r="45">
          <cell r="B45">
            <v>0.22965566994742712</v>
          </cell>
          <cell r="C45">
            <v>0.20181528416690497</v>
          </cell>
          <cell r="D45">
            <v>0.21722008413138816</v>
          </cell>
          <cell r="E45">
            <v>0.21515382160131602</v>
          </cell>
          <cell r="F45">
            <v>0.20376185441749642</v>
          </cell>
          <cell r="G45">
            <v>0.20873625426134479</v>
          </cell>
          <cell r="H45">
            <v>0.20019685404943638</v>
          </cell>
          <cell r="I45">
            <v>0.19383065070437688</v>
          </cell>
          <cell r="J45">
            <v>0.19577365506814048</v>
          </cell>
          <cell r="K45">
            <v>0.18412280970000919</v>
          </cell>
        </row>
      </sheetData>
      <sheetData sheetId="1">
        <row r="8">
          <cell r="B8">
            <v>18230.400000000001</v>
          </cell>
          <cell r="C8">
            <v>20437.939999999999</v>
          </cell>
          <cell r="D8">
            <v>24073</v>
          </cell>
          <cell r="E8">
            <v>22617</v>
          </cell>
          <cell r="F8">
            <v>24943</v>
          </cell>
          <cell r="G8">
            <v>27346</v>
          </cell>
          <cell r="H8">
            <v>30532</v>
          </cell>
          <cell r="I8">
            <v>30079</v>
          </cell>
          <cell r="J8">
            <v>41810</v>
          </cell>
          <cell r="K8">
            <v>49954</v>
          </cell>
        </row>
        <row r="10">
          <cell r="B10">
            <v>15.21</v>
          </cell>
          <cell r="C10">
            <v>16.07</v>
          </cell>
          <cell r="D10">
            <v>16</v>
          </cell>
          <cell r="E10">
            <v>21</v>
          </cell>
          <cell r="F10">
            <v>26</v>
          </cell>
          <cell r="G10">
            <v>10</v>
          </cell>
          <cell r="H10">
            <v>5</v>
          </cell>
          <cell r="I10">
            <v>8</v>
          </cell>
          <cell r="J10">
            <v>20</v>
          </cell>
          <cell r="K10">
            <v>28</v>
          </cell>
        </row>
        <row r="12">
          <cell r="B12">
            <v>42897.69</v>
          </cell>
          <cell r="C12">
            <v>48813</v>
          </cell>
          <cell r="D12">
            <v>63213</v>
          </cell>
          <cell r="E12">
            <v>80316</v>
          </cell>
          <cell r="F12">
            <v>81224</v>
          </cell>
          <cell r="G12">
            <v>92131</v>
          </cell>
          <cell r="H12">
            <v>90237</v>
          </cell>
          <cell r="I12">
            <v>99280</v>
          </cell>
          <cell r="J12">
            <v>108310</v>
          </cell>
          <cell r="K12">
            <v>110270</v>
          </cell>
        </row>
        <row r="22">
          <cell r="B22">
            <v>66828.98</v>
          </cell>
          <cell r="C22">
            <v>73317.919999999998</v>
          </cell>
          <cell r="D22">
            <v>88291</v>
          </cell>
          <cell r="E22">
            <v>102333</v>
          </cell>
          <cell r="F22">
            <v>105126</v>
          </cell>
          <cell r="G22">
            <v>113901</v>
          </cell>
          <cell r="H22">
            <v>120120</v>
          </cell>
          <cell r="I22">
            <v>129992</v>
          </cell>
          <cell r="J22">
            <v>140924</v>
          </cell>
          <cell r="K22">
            <v>142859</v>
          </cell>
        </row>
        <row r="23">
          <cell r="B23">
            <v>6023.55</v>
          </cell>
          <cell r="C23">
            <v>9168.34</v>
          </cell>
          <cell r="D23">
            <v>7872</v>
          </cell>
          <cell r="E23">
            <v>5192</v>
          </cell>
          <cell r="F23">
            <v>5356</v>
          </cell>
          <cell r="G23">
            <v>6595</v>
          </cell>
          <cell r="H23">
            <v>7242</v>
          </cell>
          <cell r="I23">
            <v>8259</v>
          </cell>
          <cell r="J23">
            <v>8816</v>
          </cell>
          <cell r="K23">
            <v>11246</v>
          </cell>
        </row>
        <row r="28">
          <cell r="B28">
            <v>127.26</v>
          </cell>
          <cell r="C28">
            <v>114.27</v>
          </cell>
          <cell r="D28">
            <v>83</v>
          </cell>
          <cell r="E28">
            <v>71</v>
          </cell>
          <cell r="F28">
            <v>54</v>
          </cell>
          <cell r="G28">
            <v>44</v>
          </cell>
          <cell r="H28">
            <v>6906</v>
          </cell>
          <cell r="I28">
            <v>6503</v>
          </cell>
          <cell r="J28">
            <v>6368</v>
          </cell>
          <cell r="K28">
            <v>6203</v>
          </cell>
        </row>
        <row r="38">
          <cell r="B38">
            <v>49902.75</v>
          </cell>
          <cell r="C38">
            <v>51762.52</v>
          </cell>
          <cell r="D38">
            <v>71427</v>
          </cell>
          <cell r="E38">
            <v>86580</v>
          </cell>
          <cell r="F38">
            <v>85530</v>
          </cell>
          <cell r="G38">
            <v>89899</v>
          </cell>
          <cell r="H38">
            <v>84749</v>
          </cell>
          <cell r="I38">
            <v>87108</v>
          </cell>
          <cell r="J38">
            <v>89846</v>
          </cell>
          <cell r="K38">
            <v>91206</v>
          </cell>
        </row>
        <row r="79">
          <cell r="B79">
            <v>2.7375138079591279</v>
          </cell>
          <cell r="C79">
            <v>2.402422650780776</v>
          </cell>
          <cell r="D79">
            <v>4.0601836983749759</v>
          </cell>
          <cell r="E79">
            <v>5.534454244762955</v>
          </cell>
          <cell r="F79">
            <v>4.5559793583127668</v>
          </cell>
          <cell r="G79">
            <v>4.171843868864336</v>
          </cell>
          <cell r="H79">
            <v>3.3347006651884699</v>
          </cell>
          <cell r="I79">
            <v>2.9067486458790808</v>
          </cell>
          <cell r="J79">
            <v>2.5574366602913745</v>
          </cell>
          <cell r="K79">
            <v>2.5315671059277287</v>
          </cell>
        </row>
        <row r="80">
          <cell r="B80">
            <v>2.1589049610377842</v>
          </cell>
          <cell r="C80">
            <v>1.9926223924906881</v>
          </cell>
          <cell r="D80">
            <v>3.4260389235018307</v>
          </cell>
          <cell r="E80">
            <v>4.7134785005512683</v>
          </cell>
          <cell r="F80">
            <v>3.803623513574153</v>
          </cell>
          <cell r="G80">
            <v>3.1373392501358448</v>
          </cell>
          <cell r="H80">
            <v>2.4515151515151516</v>
          </cell>
          <cell r="I80">
            <v>2.0075537988581469</v>
          </cell>
          <cell r="J80">
            <v>2.1320157729451488</v>
          </cell>
          <cell r="K80">
            <v>2.2471876578355294</v>
          </cell>
        </row>
        <row r="81">
          <cell r="B81">
            <v>0.99553295371948614</v>
          </cell>
          <cell r="C81">
            <v>0.98673113419272529</v>
          </cell>
          <cell r="D81">
            <v>1.8798252938531697</v>
          </cell>
          <cell r="E81">
            <v>3.1549751929437706</v>
          </cell>
          <cell r="F81">
            <v>2.404532196544761</v>
          </cell>
          <cell r="G81">
            <v>1.899067197971382</v>
          </cell>
          <cell r="H81">
            <v>1.3232076866223208</v>
          </cell>
          <cell r="I81">
            <v>1.1268921095008051</v>
          </cell>
          <cell r="J81">
            <v>1.1447899695402706</v>
          </cell>
          <cell r="K81">
            <v>1.1003489600073466</v>
          </cell>
        </row>
        <row r="83">
          <cell r="B83">
            <v>1.3391843134897374</v>
          </cell>
          <cell r="C83">
            <v>1.4164287210128101</v>
          </cell>
          <cell r="D83">
            <v>1.236101194226273</v>
          </cell>
          <cell r="E83">
            <v>1.1819473319473319</v>
          </cell>
          <cell r="F83">
            <v>1.2291125920729569</v>
          </cell>
          <cell r="G83">
            <v>1.2669885093271338</v>
          </cell>
          <cell r="H83">
            <v>1.4173618567770712</v>
          </cell>
          <cell r="I83">
            <v>1.4923083987693437</v>
          </cell>
          <cell r="J83">
            <v>1.5685061104556686</v>
          </cell>
          <cell r="K83">
            <v>1.5663333552617151</v>
          </cell>
        </row>
        <row r="84">
          <cell r="B84">
            <v>2.5501600613192662E-3</v>
          </cell>
          <cell r="C84">
            <v>2.2075818565247597E-3</v>
          </cell>
          <cell r="D84">
            <v>1.1620255645624204E-3</v>
          </cell>
          <cell r="E84">
            <v>8.2005082005082001E-4</v>
          </cell>
          <cell r="F84">
            <v>6.3135741844966677E-4</v>
          </cell>
          <cell r="G84">
            <v>4.8943814725414076E-4</v>
          </cell>
          <cell r="H84">
            <v>8.1487687170350098E-2</v>
          </cell>
          <cell r="I84">
            <v>7.4654451944712305E-2</v>
          </cell>
          <cell r="J84">
            <v>7.087683369320838E-2</v>
          </cell>
          <cell r="K84">
            <v>6.8010876477424737E-2</v>
          </cell>
        </row>
        <row r="85">
          <cell r="B85">
            <v>1.904263689195915E-3</v>
          </cell>
          <cell r="C85">
            <v>1.5585548526199325E-3</v>
          </cell>
          <cell r="D85">
            <v>9.4007316714047869E-4</v>
          </cell>
          <cell r="E85">
            <v>6.9381333489685639E-4</v>
          </cell>
          <cell r="F85">
            <v>5.1366931111237947E-4</v>
          </cell>
          <cell r="G85">
            <v>3.863003836665174E-4</v>
          </cell>
          <cell r="H85">
            <v>5.7492507492507491E-2</v>
          </cell>
          <cell r="I85">
            <v>5.0026155455720353E-2</v>
          </cell>
          <cell r="J85">
            <v>4.5187476937923986E-2</v>
          </cell>
          <cell r="K85">
            <v>4.3420435534338053E-2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S"/>
      <sheetName val="BS"/>
      <sheetName val="CFS"/>
      <sheetName val="Ratio Analysis - INFY"/>
    </sheetNames>
    <sheetDataSet>
      <sheetData sheetId="0">
        <row r="6">
          <cell r="B6">
            <v>52797</v>
          </cell>
          <cell r="C6">
            <v>56749</v>
          </cell>
          <cell r="D6">
            <v>65561</v>
          </cell>
          <cell r="E6">
            <v>71534</v>
          </cell>
          <cell r="F6">
            <v>73833</v>
          </cell>
          <cell r="G6">
            <v>85557</v>
          </cell>
          <cell r="H6">
            <v>93594</v>
          </cell>
          <cell r="I6">
            <v>102673</v>
          </cell>
          <cell r="J6">
            <v>123936</v>
          </cell>
          <cell r="K6">
            <v>149468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>
            <v>219</v>
          </cell>
          <cell r="C8">
            <v>219</v>
          </cell>
          <cell r="D8">
            <v>217</v>
          </cell>
          <cell r="E8">
            <v>228</v>
          </cell>
          <cell r="F8">
            <v>207</v>
          </cell>
          <cell r="G8">
            <v>221</v>
          </cell>
          <cell r="H8">
            <v>229</v>
          </cell>
          <cell r="I8">
            <v>143</v>
          </cell>
          <cell r="J8">
            <v>132</v>
          </cell>
          <cell r="K8">
            <v>176</v>
          </cell>
        </row>
        <row r="9">
          <cell r="B9">
            <v>28831</v>
          </cell>
          <cell r="C9">
            <v>29802</v>
          </cell>
          <cell r="D9">
            <v>34406</v>
          </cell>
          <cell r="E9">
            <v>37659</v>
          </cell>
          <cell r="F9">
            <v>38893</v>
          </cell>
          <cell r="G9">
            <v>45315</v>
          </cell>
          <cell r="H9">
            <v>50887</v>
          </cell>
          <cell r="I9">
            <v>55541</v>
          </cell>
          <cell r="J9">
            <v>63986</v>
          </cell>
          <cell r="K9">
            <v>78359</v>
          </cell>
        </row>
        <row r="10">
          <cell r="B10">
            <v>3600</v>
          </cell>
          <cell r="C10">
            <v>3394</v>
          </cell>
          <cell r="D10">
            <v>4450</v>
          </cell>
          <cell r="E10">
            <v>4594</v>
          </cell>
          <cell r="F10">
            <v>4594</v>
          </cell>
          <cell r="G10">
            <v>5561</v>
          </cell>
          <cell r="H10">
            <v>5383</v>
          </cell>
          <cell r="I10">
            <v>3200</v>
          </cell>
          <cell r="J10">
            <v>4316</v>
          </cell>
          <cell r="K10">
            <v>5315</v>
          </cell>
        </row>
        <row r="11">
          <cell r="B11">
            <v>4093</v>
          </cell>
          <cell r="C11">
            <v>5021</v>
          </cell>
          <cell r="D11">
            <v>6289</v>
          </cell>
          <cell r="E11">
            <v>7399</v>
          </cell>
          <cell r="F11">
            <v>8006</v>
          </cell>
          <cell r="G11">
            <v>11408</v>
          </cell>
          <cell r="H11">
            <v>12025</v>
          </cell>
          <cell r="I11">
            <v>13699</v>
          </cell>
          <cell r="J11">
            <v>21716</v>
          </cell>
          <cell r="K11">
            <v>27787</v>
          </cell>
        </row>
        <row r="12">
          <cell r="B12">
            <v>16054</v>
          </cell>
          <cell r="C12">
            <v>18313</v>
          </cell>
          <cell r="D12">
            <v>20199</v>
          </cell>
          <cell r="E12">
            <v>21654</v>
          </cell>
          <cell r="F12">
            <v>22133</v>
          </cell>
          <cell r="G12">
            <v>23052</v>
          </cell>
          <cell r="H12">
            <v>25070</v>
          </cell>
          <cell r="I12">
            <v>30090</v>
          </cell>
          <cell r="J12">
            <v>33786</v>
          </cell>
          <cell r="K12">
            <v>37831</v>
          </cell>
        </row>
        <row r="14">
          <cell r="B14">
            <v>14737</v>
          </cell>
          <cell r="C14">
            <v>17296</v>
          </cell>
          <cell r="D14">
            <v>18740</v>
          </cell>
          <cell r="E14">
            <v>19951</v>
          </cell>
          <cell r="F14">
            <v>20270</v>
          </cell>
          <cell r="G14">
            <v>21041</v>
          </cell>
          <cell r="H14">
            <v>22177</v>
          </cell>
          <cell r="I14">
            <v>26823</v>
          </cell>
          <cell r="J14">
            <v>30310</v>
          </cell>
          <cell r="K14">
            <v>33606</v>
          </cell>
        </row>
        <row r="15">
          <cell r="B15">
            <v>9</v>
          </cell>
          <cell r="C15">
            <v>12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170</v>
          </cell>
          <cell r="I15">
            <v>195</v>
          </cell>
          <cell r="J15">
            <v>200</v>
          </cell>
          <cell r="K15">
            <v>284</v>
          </cell>
        </row>
        <row r="16">
          <cell r="B16">
            <v>14728</v>
          </cell>
          <cell r="C16">
            <v>17284</v>
          </cell>
          <cell r="D16">
            <v>18740</v>
          </cell>
          <cell r="E16">
            <v>19951</v>
          </cell>
          <cell r="F16">
            <v>20270</v>
          </cell>
          <cell r="G16">
            <v>21041</v>
          </cell>
          <cell r="H16">
            <v>22007</v>
          </cell>
          <cell r="I16">
            <v>26628</v>
          </cell>
          <cell r="J16">
            <v>30110</v>
          </cell>
          <cell r="K16">
            <v>33322</v>
          </cell>
        </row>
        <row r="18">
          <cell r="B18">
            <v>10656</v>
          </cell>
          <cell r="C18">
            <v>12372</v>
          </cell>
          <cell r="D18">
            <v>13489</v>
          </cell>
          <cell r="E18">
            <v>14353</v>
          </cell>
          <cell r="F18">
            <v>16029</v>
          </cell>
          <cell r="G18">
            <v>15404</v>
          </cell>
          <cell r="H18">
            <v>16594</v>
          </cell>
          <cell r="I18">
            <v>19351</v>
          </cell>
          <cell r="J18">
            <v>22110</v>
          </cell>
          <cell r="K18">
            <v>24095</v>
          </cell>
        </row>
      </sheetData>
      <sheetData sheetId="1">
        <row r="6">
          <cell r="B6">
            <v>28974</v>
          </cell>
          <cell r="C6">
            <v>31239</v>
          </cell>
          <cell r="D6">
            <v>32772</v>
          </cell>
          <cell r="E6">
            <v>32595</v>
          </cell>
          <cell r="F6">
            <v>26225</v>
          </cell>
          <cell r="G6">
            <v>26195</v>
          </cell>
          <cell r="H6">
            <v>23304</v>
          </cell>
          <cell r="I6">
            <v>27056</v>
          </cell>
          <cell r="J6">
            <v>24145</v>
          </cell>
          <cell r="K6">
            <v>19082</v>
          </cell>
        </row>
        <row r="7">
          <cell r="B7">
            <v>8351</v>
          </cell>
          <cell r="C7">
            <v>9713</v>
          </cell>
          <cell r="D7">
            <v>11330</v>
          </cell>
          <cell r="E7">
            <v>12322</v>
          </cell>
          <cell r="F7">
            <v>13142</v>
          </cell>
          <cell r="G7">
            <v>14827</v>
          </cell>
          <cell r="H7">
            <v>18487</v>
          </cell>
          <cell r="I7">
            <v>19294</v>
          </cell>
          <cell r="J7">
            <v>22698</v>
          </cell>
          <cell r="K7">
            <v>25424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10">
          <cell r="B10">
            <v>43078</v>
          </cell>
          <cell r="C10">
            <v>47242</v>
          </cell>
          <cell r="D10">
            <v>51753</v>
          </cell>
          <cell r="E10">
            <v>53705</v>
          </cell>
          <cell r="F10">
            <v>50017</v>
          </cell>
          <cell r="G10">
            <v>52878</v>
          </cell>
          <cell r="H10">
            <v>54576</v>
          </cell>
          <cell r="I10">
            <v>60733</v>
          </cell>
          <cell r="J10">
            <v>67185</v>
          </cell>
          <cell r="K10">
            <v>70881</v>
          </cell>
        </row>
        <row r="18">
          <cell r="B18">
            <v>56966</v>
          </cell>
          <cell r="C18">
            <v>66289</v>
          </cell>
          <cell r="D18">
            <v>75098</v>
          </cell>
          <cell r="E18">
            <v>83148</v>
          </cell>
          <cell r="F18">
            <v>79349</v>
          </cell>
          <cell r="G18">
            <v>84066</v>
          </cell>
          <cell r="H18">
            <v>91800</v>
          </cell>
          <cell r="I18">
            <v>107511</v>
          </cell>
          <cell r="J18">
            <v>116729</v>
          </cell>
          <cell r="K18">
            <v>124596</v>
          </cell>
        </row>
        <row r="19">
          <cell r="B19">
            <v>173</v>
          </cell>
          <cell r="C19">
            <v>140</v>
          </cell>
          <cell r="D19">
            <v>467</v>
          </cell>
          <cell r="E19">
            <v>415</v>
          </cell>
          <cell r="F19">
            <v>849</v>
          </cell>
          <cell r="G19">
            <v>2331</v>
          </cell>
          <cell r="H19">
            <v>3132</v>
          </cell>
          <cell r="I19">
            <v>3016</v>
          </cell>
          <cell r="J19">
            <v>4565</v>
          </cell>
          <cell r="K19">
            <v>4539</v>
          </cell>
        </row>
        <row r="22">
          <cell r="B22">
            <v>12031</v>
          </cell>
          <cell r="C22">
            <v>15503</v>
          </cell>
          <cell r="D22">
            <v>13239</v>
          </cell>
          <cell r="E22">
            <v>14013</v>
          </cell>
          <cell r="F22">
            <v>14105</v>
          </cell>
          <cell r="G22">
            <v>18638</v>
          </cell>
          <cell r="H22">
            <v>20856</v>
          </cell>
          <cell r="I22">
            <v>23865</v>
          </cell>
          <cell r="J22">
            <v>33603</v>
          </cell>
          <cell r="K22">
            <v>39186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4014</v>
          </cell>
          <cell r="I23">
            <v>4587</v>
          </cell>
          <cell r="J23">
            <v>4602</v>
          </cell>
          <cell r="K23">
            <v>7057</v>
          </cell>
        </row>
        <row r="33">
          <cell r="B33">
            <v>44530</v>
          </cell>
          <cell r="C33">
            <v>50736</v>
          </cell>
          <cell r="D33">
            <v>61744</v>
          </cell>
          <cell r="E33">
            <v>68982</v>
          </cell>
          <cell r="F33">
            <v>64924</v>
          </cell>
          <cell r="G33">
            <v>65006</v>
          </cell>
          <cell r="H33">
            <v>65844</v>
          </cell>
          <cell r="I33">
            <v>76782</v>
          </cell>
          <cell r="J33">
            <v>75736</v>
          </cell>
          <cell r="K33">
            <v>75795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S"/>
      <sheetName val="BS"/>
      <sheetName val="CFS"/>
      <sheetName val="Ratio Analysis - HCL"/>
    </sheetNames>
    <sheetDataSet>
      <sheetData sheetId="0">
        <row r="6">
          <cell r="B6">
            <v>32821.06</v>
          </cell>
          <cell r="C6">
            <v>37840.68</v>
          </cell>
          <cell r="D6">
            <v>32006.83</v>
          </cell>
          <cell r="E6">
            <v>48643</v>
          </cell>
          <cell r="F6">
            <v>51799</v>
          </cell>
          <cell r="G6">
            <v>61370</v>
          </cell>
          <cell r="H6">
            <v>71265</v>
          </cell>
          <cell r="I6">
            <v>76306</v>
          </cell>
          <cell r="J6">
            <v>86718</v>
          </cell>
          <cell r="K6">
            <v>102814</v>
          </cell>
        </row>
        <row r="7">
          <cell r="B7">
            <v>920.92</v>
          </cell>
          <cell r="C7">
            <v>1306.3800000000001</v>
          </cell>
          <cell r="D7">
            <v>812.73</v>
          </cell>
          <cell r="E7">
            <v>826</v>
          </cell>
          <cell r="F7">
            <v>1251</v>
          </cell>
          <cell r="G7">
            <v>1615</v>
          </cell>
          <cell r="H7">
            <v>1536</v>
          </cell>
          <cell r="I7">
            <v>1698</v>
          </cell>
          <cell r="J7">
            <v>1473</v>
          </cell>
          <cell r="K7">
            <v>2072</v>
          </cell>
        </row>
        <row r="8">
          <cell r="B8">
            <v>241.99</v>
          </cell>
          <cell r="C8">
            <v>264.88</v>
          </cell>
          <cell r="D8">
            <v>210.53</v>
          </cell>
          <cell r="E8">
            <v>307</v>
          </cell>
          <cell r="F8">
            <v>313</v>
          </cell>
          <cell r="G8">
            <v>336</v>
          </cell>
          <cell r="H8">
            <v>307</v>
          </cell>
          <cell r="I8">
            <v>275</v>
          </cell>
          <cell r="J8">
            <v>291</v>
          </cell>
          <cell r="K8">
            <v>328</v>
          </cell>
        </row>
        <row r="9">
          <cell r="B9">
            <v>14906.36</v>
          </cell>
          <cell r="C9">
            <v>17726.43</v>
          </cell>
          <cell r="D9">
            <v>15203.25</v>
          </cell>
          <cell r="E9">
            <v>22866</v>
          </cell>
          <cell r="F9">
            <v>24729</v>
          </cell>
          <cell r="G9">
            <v>29283</v>
          </cell>
          <cell r="H9">
            <v>34928</v>
          </cell>
          <cell r="I9">
            <v>38853</v>
          </cell>
          <cell r="J9">
            <v>46130</v>
          </cell>
          <cell r="K9">
            <v>55280</v>
          </cell>
        </row>
        <row r="10">
          <cell r="B10">
            <v>2602.09</v>
          </cell>
          <cell r="C10">
            <v>2853.17</v>
          </cell>
          <cell r="D10">
            <v>2205.52</v>
          </cell>
          <cell r="E10">
            <v>2988</v>
          </cell>
          <cell r="F10">
            <v>2810</v>
          </cell>
          <cell r="G10">
            <v>3519</v>
          </cell>
          <cell r="H10">
            <v>3050</v>
          </cell>
          <cell r="I10">
            <v>1681</v>
          </cell>
          <cell r="J10">
            <v>1866</v>
          </cell>
          <cell r="K10">
            <v>2687</v>
          </cell>
        </row>
        <row r="11">
          <cell r="B11">
            <v>5437.01</v>
          </cell>
          <cell r="C11">
            <v>6077.78</v>
          </cell>
          <cell r="D11">
            <v>6050.36</v>
          </cell>
          <cell r="E11">
            <v>10197</v>
          </cell>
          <cell r="F11">
            <v>10220</v>
          </cell>
          <cell r="G11">
            <v>11748</v>
          </cell>
          <cell r="H11">
            <v>13539</v>
          </cell>
          <cell r="I11">
            <v>12824</v>
          </cell>
          <cell r="J11">
            <v>15362</v>
          </cell>
          <cell r="K11">
            <v>18461</v>
          </cell>
        </row>
        <row r="12">
          <cell r="B12">
            <v>8712.69</v>
          </cell>
          <cell r="C12">
            <v>9612.0400000000009</v>
          </cell>
          <cell r="D12">
            <v>7524.44</v>
          </cell>
          <cell r="E12">
            <v>11459</v>
          </cell>
          <cell r="F12">
            <v>12476</v>
          </cell>
          <cell r="G12">
            <v>14869</v>
          </cell>
          <cell r="H12">
            <v>17905</v>
          </cell>
          <cell r="I12">
            <v>20975</v>
          </cell>
          <cell r="J12">
            <v>21596</v>
          </cell>
          <cell r="K12">
            <v>23986</v>
          </cell>
        </row>
        <row r="14">
          <cell r="B14">
            <v>8031.83</v>
          </cell>
          <cell r="C14">
            <v>9208.2900000000009</v>
          </cell>
          <cell r="D14">
            <v>7114.58</v>
          </cell>
          <cell r="E14">
            <v>10631</v>
          </cell>
          <cell r="F14">
            <v>11093</v>
          </cell>
          <cell r="G14">
            <v>12796</v>
          </cell>
          <cell r="H14">
            <v>14485</v>
          </cell>
          <cell r="I14">
            <v>16364</v>
          </cell>
          <cell r="J14">
            <v>17270</v>
          </cell>
          <cell r="K14">
            <v>19841</v>
          </cell>
        </row>
        <row r="15">
          <cell r="B15">
            <v>114.5</v>
          </cell>
          <cell r="C15">
            <v>91.23</v>
          </cell>
          <cell r="D15">
            <v>73.900000000000006</v>
          </cell>
          <cell r="E15">
            <v>89</v>
          </cell>
          <cell r="F15">
            <v>69</v>
          </cell>
          <cell r="G15">
            <v>174</v>
          </cell>
          <cell r="H15">
            <v>505</v>
          </cell>
          <cell r="I15">
            <v>511</v>
          </cell>
          <cell r="J15">
            <v>319</v>
          </cell>
          <cell r="K15">
            <v>353</v>
          </cell>
        </row>
        <row r="16">
          <cell r="B16">
            <v>7917.33</v>
          </cell>
          <cell r="C16">
            <v>9117.06</v>
          </cell>
          <cell r="D16">
            <v>7040.68</v>
          </cell>
          <cell r="E16">
            <v>10542</v>
          </cell>
          <cell r="F16">
            <v>11024</v>
          </cell>
          <cell r="G16">
            <v>12622</v>
          </cell>
          <cell r="H16">
            <v>13980</v>
          </cell>
          <cell r="I16">
            <v>15853</v>
          </cell>
          <cell r="J16">
            <v>16951</v>
          </cell>
          <cell r="K16">
            <v>19488</v>
          </cell>
        </row>
        <row r="18">
          <cell r="B18">
            <v>6509.51</v>
          </cell>
          <cell r="C18">
            <v>7317.07</v>
          </cell>
          <cell r="D18">
            <v>5602.43</v>
          </cell>
          <cell r="E18">
            <v>8606</v>
          </cell>
          <cell r="F18">
            <v>8721</v>
          </cell>
          <cell r="G18">
            <v>10120</v>
          </cell>
          <cell r="H18">
            <v>11057</v>
          </cell>
          <cell r="I18">
            <v>11145</v>
          </cell>
          <cell r="J18">
            <v>13499</v>
          </cell>
          <cell r="K18">
            <v>14851</v>
          </cell>
        </row>
      </sheetData>
      <sheetData sheetId="1">
        <row r="6">
          <cell r="B6">
            <v>9413.59</v>
          </cell>
          <cell r="C6">
            <v>10548.81</v>
          </cell>
          <cell r="D6">
            <v>9871.07</v>
          </cell>
          <cell r="E6">
            <v>10190</v>
          </cell>
          <cell r="F6">
            <v>6375</v>
          </cell>
          <cell r="G6">
            <v>10092</v>
          </cell>
          <cell r="H6">
            <v>11965</v>
          </cell>
          <cell r="I6">
            <v>15661</v>
          </cell>
          <cell r="J6">
            <v>18875</v>
          </cell>
          <cell r="K6">
            <v>20109</v>
          </cell>
        </row>
        <row r="7">
          <cell r="B7">
            <v>5682.84</v>
          </cell>
          <cell r="C7">
            <v>6538.69</v>
          </cell>
          <cell r="D7">
            <v>7721.14</v>
          </cell>
          <cell r="E7">
            <v>8301</v>
          </cell>
          <cell r="F7">
            <v>9639</v>
          </cell>
          <cell r="G7">
            <v>11706</v>
          </cell>
          <cell r="H7">
            <v>14131</v>
          </cell>
          <cell r="I7">
            <v>17525</v>
          </cell>
          <cell r="J7">
            <v>20671</v>
          </cell>
          <cell r="K7">
            <v>25506</v>
          </cell>
        </row>
        <row r="8">
          <cell r="B8">
            <v>122.3</v>
          </cell>
          <cell r="C8">
            <v>157.61000000000001</v>
          </cell>
          <cell r="D8">
            <v>264.48</v>
          </cell>
          <cell r="E8">
            <v>276</v>
          </cell>
          <cell r="F8">
            <v>172</v>
          </cell>
          <cell r="G8">
            <v>91</v>
          </cell>
          <cell r="H8">
            <v>91</v>
          </cell>
          <cell r="I8">
            <v>94</v>
          </cell>
          <cell r="J8">
            <v>161</v>
          </cell>
          <cell r="K8">
            <v>228</v>
          </cell>
        </row>
        <row r="10">
          <cell r="B10">
            <v>19329.63</v>
          </cell>
          <cell r="C10">
            <v>23046.799999999999</v>
          </cell>
          <cell r="D10">
            <v>24981.7</v>
          </cell>
          <cell r="E10">
            <v>26463</v>
          </cell>
          <cell r="F10">
            <v>24558</v>
          </cell>
          <cell r="G10">
            <v>29722</v>
          </cell>
          <cell r="H10">
            <v>38420</v>
          </cell>
          <cell r="I10">
            <v>43051</v>
          </cell>
          <cell r="J10">
            <v>48041</v>
          </cell>
          <cell r="K10">
            <v>53577</v>
          </cell>
        </row>
        <row r="18">
          <cell r="B18">
            <v>29979.69</v>
          </cell>
          <cell r="C18">
            <v>35244.67</v>
          </cell>
          <cell r="D18">
            <v>39340.6</v>
          </cell>
          <cell r="E18">
            <v>45762</v>
          </cell>
          <cell r="F18">
            <v>47989</v>
          </cell>
          <cell r="G18">
            <v>58349</v>
          </cell>
          <cell r="H18">
            <v>82819</v>
          </cell>
          <cell r="I18">
            <v>86047</v>
          </cell>
          <cell r="J18">
            <v>88921</v>
          </cell>
          <cell r="K18">
            <v>93250</v>
          </cell>
        </row>
        <row r="19">
          <cell r="B19">
            <v>1264.43</v>
          </cell>
          <cell r="C19">
            <v>1409.45</v>
          </cell>
          <cell r="D19">
            <v>1277.8599999999999</v>
          </cell>
          <cell r="E19">
            <v>2853</v>
          </cell>
          <cell r="F19">
            <v>2001</v>
          </cell>
          <cell r="G19">
            <v>1954</v>
          </cell>
          <cell r="H19">
            <v>1807</v>
          </cell>
          <cell r="I19">
            <v>6091</v>
          </cell>
          <cell r="J19">
            <v>6901</v>
          </cell>
          <cell r="K19">
            <v>6875</v>
          </cell>
        </row>
        <row r="21">
          <cell r="B21">
            <v>7977.35</v>
          </cell>
          <cell r="C21">
            <v>8535.6</v>
          </cell>
          <cell r="D21">
            <v>8550.59</v>
          </cell>
          <cell r="E21">
            <v>8482</v>
          </cell>
          <cell r="F21">
            <v>8106</v>
          </cell>
          <cell r="G21">
            <v>10345</v>
          </cell>
          <cell r="H21">
            <v>21923</v>
          </cell>
          <cell r="I21">
            <v>11292</v>
          </cell>
          <cell r="J21">
            <v>11874</v>
          </cell>
          <cell r="K21">
            <v>14556</v>
          </cell>
        </row>
        <row r="22">
          <cell r="B22">
            <v>9241.7800000000007</v>
          </cell>
          <cell r="C22">
            <v>9945.0499999999993</v>
          </cell>
          <cell r="D22">
            <v>9828.4500000000007</v>
          </cell>
          <cell r="E22">
            <v>11335</v>
          </cell>
          <cell r="F22">
            <v>10107</v>
          </cell>
          <cell r="G22">
            <v>12299</v>
          </cell>
          <cell r="H22">
            <v>23730</v>
          </cell>
          <cell r="I22">
            <v>17383</v>
          </cell>
          <cell r="J22">
            <v>18775</v>
          </cell>
          <cell r="K22">
            <v>21431</v>
          </cell>
        </row>
        <row r="23">
          <cell r="B23">
            <v>200.64</v>
          </cell>
          <cell r="C23">
            <v>167.89</v>
          </cell>
          <cell r="D23">
            <v>737.4</v>
          </cell>
          <cell r="E23">
            <v>383</v>
          </cell>
          <cell r="F23">
            <v>338</v>
          </cell>
          <cell r="G23">
            <v>2977</v>
          </cell>
          <cell r="H23">
            <v>5027</v>
          </cell>
          <cell r="I23">
            <v>5731</v>
          </cell>
          <cell r="J23">
            <v>5582</v>
          </cell>
          <cell r="K23">
            <v>3775</v>
          </cell>
        </row>
        <row r="33">
          <cell r="B33">
            <v>19607.16</v>
          </cell>
          <cell r="C33">
            <v>24306.52</v>
          </cell>
          <cell r="D33">
            <v>27601.43</v>
          </cell>
          <cell r="E33">
            <v>33122</v>
          </cell>
          <cell r="F33">
            <v>36386</v>
          </cell>
          <cell r="G33">
            <v>41469</v>
          </cell>
          <cell r="H33">
            <v>51421</v>
          </cell>
          <cell r="I33">
            <v>60082</v>
          </cell>
          <cell r="J33">
            <v>62006</v>
          </cell>
          <cell r="K33">
            <v>65398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B1F2B-429B-4BAE-B932-F49C6655DFFA}">
  <dimension ref="A1:K35"/>
  <sheetViews>
    <sheetView tabSelected="1" zoomScale="77" workbookViewId="0">
      <selection activeCell="C46" sqref="C46"/>
    </sheetView>
  </sheetViews>
  <sheetFormatPr defaultRowHeight="15" x14ac:dyDescent="0.25"/>
  <cols>
    <col min="1" max="1" width="31.7109375" bestFit="1" customWidth="1"/>
  </cols>
  <sheetData>
    <row r="1" spans="1:11" x14ac:dyDescent="0.25">
      <c r="A1" s="1" t="s">
        <v>43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3" t="s">
        <v>11</v>
      </c>
    </row>
    <row r="3" spans="1:11" x14ac:dyDescent="0.25">
      <c r="A3" t="s">
        <v>38</v>
      </c>
      <c r="B3" s="14">
        <f>'Ratio Analysis - TCS'!B3</f>
        <v>0.3210399287683906</v>
      </c>
      <c r="C3" s="14">
        <f>'Ratio Analysis - TCS'!C3</f>
        <v>0.28669231794422717</v>
      </c>
      <c r="D3" s="14">
        <f>'Ratio Analysis - TCS'!D3</f>
        <v>0.30216593573793965</v>
      </c>
      <c r="E3" s="14">
        <f>'Ratio Analysis - TCS'!E3</f>
        <v>0.29898434366994853</v>
      </c>
      <c r="F3" s="14">
        <f>'Ratio Analysis - TCS'!F3</f>
        <v>0.28527921985703691</v>
      </c>
      <c r="G3" s="14">
        <f>'Ratio Analysis - TCS'!G3</f>
        <v>0.2906137662992293</v>
      </c>
      <c r="H3" s="14">
        <f>'Ratio Analysis - TCS'!H3</f>
        <v>0.28909688562036884</v>
      </c>
      <c r="I3" s="14">
        <f>'Ratio Analysis - TCS'!I3</f>
        <v>0.28965220457710489</v>
      </c>
      <c r="J3" s="14">
        <f>'Ratio Analysis - TCS'!J3</f>
        <v>0.29153811576732119</v>
      </c>
      <c r="K3" s="14">
        <f>'Ratio Analysis - TCS'!K3</f>
        <v>0.27394531403583117</v>
      </c>
    </row>
    <row r="4" spans="1:11" x14ac:dyDescent="0.25">
      <c r="A4" t="s">
        <v>39</v>
      </c>
      <c r="B4" s="14">
        <f>'Ratio Analysis - INFY'!B3</f>
        <v>0.30407030702502036</v>
      </c>
      <c r="C4" s="14">
        <f>'Ratio Analysis - INFY'!C3</f>
        <v>0.32270172161623994</v>
      </c>
      <c r="D4" s="14">
        <f>'Ratio Analysis - INFY'!D3</f>
        <v>0.30809475145284543</v>
      </c>
      <c r="E4" s="14">
        <f>'Ratio Analysis - INFY'!E3</f>
        <v>0.30270920121900075</v>
      </c>
      <c r="F4" s="14">
        <f>'Ratio Analysis - INFY'!F3</f>
        <v>0.2997711050614224</v>
      </c>
      <c r="G4" s="14">
        <f>'Ratio Analysis - INFY'!G3</f>
        <v>0.26943441214628844</v>
      </c>
      <c r="H4" s="14">
        <f>'Ratio Analysis - INFY'!H3</f>
        <v>0.2678590507938543</v>
      </c>
      <c r="I4" s="14">
        <f>'Ratio Analysis - INFY'!I3</f>
        <v>0.29306633681688465</v>
      </c>
      <c r="J4" s="14">
        <f>'Ratio Analysis - INFY'!J3</f>
        <v>0.27260844306738963</v>
      </c>
      <c r="K4" s="14">
        <f>'Ratio Analysis - INFY'!K3</f>
        <v>0.25310434340460836</v>
      </c>
    </row>
    <row r="5" spans="1:11" x14ac:dyDescent="0.25">
      <c r="A5" t="s">
        <v>40</v>
      </c>
      <c r="B5" s="14">
        <f>'Ratio Analysis - HCL'!B3</f>
        <v>0.26546034771576549</v>
      </c>
      <c r="C5" s="14">
        <f>'Ratio Analysis - HCL'!C3</f>
        <v>0.2540134056787563</v>
      </c>
      <c r="D5" s="14">
        <f>'Ratio Analysis - HCL'!D3</f>
        <v>0.23508857328263996</v>
      </c>
      <c r="E5" s="14">
        <f>'Ratio Analysis - HCL'!E3</f>
        <v>0.23557346380774213</v>
      </c>
      <c r="F5" s="14">
        <f>'Ratio Analysis - HCL'!F3</f>
        <v>0.24085407054190236</v>
      </c>
      <c r="G5" s="14">
        <f>'Ratio Analysis - HCL'!G3</f>
        <v>0.24228450382923253</v>
      </c>
      <c r="H5" s="14">
        <f>'Ratio Analysis - HCL'!H3</f>
        <v>0.25124535185574964</v>
      </c>
      <c r="I5" s="14">
        <f>'Ratio Analysis - HCL'!I3</f>
        <v>0.27488008806646924</v>
      </c>
      <c r="J5" s="14">
        <f>'Ratio Analysis - HCL'!J3</f>
        <v>0.24903710878940935</v>
      </c>
      <c r="K5" s="14">
        <f>'Ratio Analysis - HCL'!K3</f>
        <v>0.23329507654599568</v>
      </c>
    </row>
    <row r="7" spans="1:11" x14ac:dyDescent="0.25">
      <c r="A7" s="13" t="s">
        <v>14</v>
      </c>
    </row>
    <row r="8" spans="1:11" x14ac:dyDescent="0.25">
      <c r="A8" t="s">
        <v>38</v>
      </c>
      <c r="B8" s="14">
        <f>'Ratio Analysis - TCS'!B6</f>
        <v>0.22965566994742712</v>
      </c>
      <c r="C8" s="14">
        <f>'Ratio Analysis - TCS'!C6</f>
        <v>0.20181528416690497</v>
      </c>
      <c r="D8" s="14">
        <f>'Ratio Analysis - TCS'!D6</f>
        <v>0.21722008413138816</v>
      </c>
      <c r="E8" s="14">
        <f>'Ratio Analysis - TCS'!E6</f>
        <v>0.21515382160131602</v>
      </c>
      <c r="F8" s="14">
        <f>'Ratio Analysis - TCS'!F6</f>
        <v>0.20376185441749642</v>
      </c>
      <c r="G8" s="14">
        <f>'Ratio Analysis - TCS'!G6</f>
        <v>0.20873625426134479</v>
      </c>
      <c r="H8" s="14">
        <f>'Ratio Analysis - TCS'!H6</f>
        <v>0.20019685404943638</v>
      </c>
      <c r="I8" s="14">
        <f>'Ratio Analysis - TCS'!I6</f>
        <v>0.19383065070437688</v>
      </c>
      <c r="J8" s="14">
        <f>'Ratio Analysis - TCS'!J6</f>
        <v>0.19577365506814048</v>
      </c>
      <c r="K8" s="14">
        <f>'Ratio Analysis - TCS'!K6</f>
        <v>0.18412280970000919</v>
      </c>
    </row>
    <row r="9" spans="1:11" x14ac:dyDescent="0.25">
      <c r="A9" t="s">
        <v>39</v>
      </c>
      <c r="B9" s="14">
        <f>'Ratio Analysis - INFY'!B6</f>
        <v>0.2018296494118984</v>
      </c>
      <c r="C9" s="14">
        <f>'Ratio Analysis - INFY'!C6</f>
        <v>0.2180126522053252</v>
      </c>
      <c r="D9" s="14">
        <f>'Ratio Analysis - INFY'!D6</f>
        <v>0.2057473192904318</v>
      </c>
      <c r="E9" s="14">
        <f>'Ratio Analysis - INFY'!E6</f>
        <v>0.20064584673022617</v>
      </c>
      <c r="F9" s="14">
        <f>'Ratio Analysis - INFY'!F6</f>
        <v>0.2170980455893706</v>
      </c>
      <c r="G9" s="14">
        <f>'Ratio Analysis - INFY'!G6</f>
        <v>0.18004371354769336</v>
      </c>
      <c r="H9" s="14">
        <f>'Ratio Analysis - INFY'!H6</f>
        <v>0.17729769002286472</v>
      </c>
      <c r="I9" s="14">
        <f>'Ratio Analysis - INFY'!I6</f>
        <v>0.18847213970566751</v>
      </c>
      <c r="J9" s="14">
        <f>'Ratio Analysis - INFY'!J6</f>
        <v>0.17839852827265684</v>
      </c>
      <c r="K9" s="14">
        <f>'Ratio Analysis - INFY'!K6</f>
        <v>0.16120507399577166</v>
      </c>
    </row>
    <row r="10" spans="1:11" x14ac:dyDescent="0.25">
      <c r="A10" t="s">
        <v>40</v>
      </c>
      <c r="B10" s="14">
        <f>'Ratio Analysis - HCL'!B6</f>
        <v>0.19833332622407687</v>
      </c>
      <c r="C10" s="14">
        <f>'Ratio Analysis - HCL'!C6</f>
        <v>0.19336518265527997</v>
      </c>
      <c r="D10" s="14">
        <f>'Ratio Analysis - HCL'!D6</f>
        <v>0.1750385777035714</v>
      </c>
      <c r="E10" s="14">
        <f>'Ratio Analysis - HCL'!E6</f>
        <v>0.17692165368089963</v>
      </c>
      <c r="F10" s="14">
        <f>'Ratio Analysis - HCL'!F6</f>
        <v>0.16836232359698064</v>
      </c>
      <c r="G10" s="14">
        <f>'Ratio Analysis - HCL'!G6</f>
        <v>0.16490141763076421</v>
      </c>
      <c r="H10" s="14">
        <f>'Ratio Analysis - HCL'!H6</f>
        <v>0.1551533010594261</v>
      </c>
      <c r="I10" s="14">
        <f>'Ratio Analysis - HCL'!I6</f>
        <v>0.14605666657929914</v>
      </c>
      <c r="J10" s="14">
        <f>'Ratio Analysis - HCL'!J6</f>
        <v>0.15566549044027769</v>
      </c>
      <c r="K10" s="14">
        <f>'Ratio Analysis - HCL'!K6</f>
        <v>0.14444530900461028</v>
      </c>
    </row>
    <row r="12" spans="1:11" x14ac:dyDescent="0.25">
      <c r="A12" s="13" t="s">
        <v>16</v>
      </c>
    </row>
    <row r="13" spans="1:11" x14ac:dyDescent="0.25">
      <c r="A13" t="s">
        <v>38</v>
      </c>
      <c r="B13" s="14"/>
      <c r="C13" s="14">
        <f>'Ratio Analysis - TCS'!C8</f>
        <v>0.39054005364860589</v>
      </c>
      <c r="D13" s="14">
        <f>'Ratio Analysis - TCS'!D8</f>
        <v>0.39402702437674897</v>
      </c>
      <c r="E13" s="14">
        <f>'Ratio Analysis - TCS'!E8</f>
        <v>0.33275740948185839</v>
      </c>
      <c r="F13" s="14">
        <f>'Ratio Analysis - TCS'!F8</f>
        <v>0.30011039451513566</v>
      </c>
      <c r="G13" s="14">
        <f>'Ratio Analysis - TCS'!G8</f>
        <v>0.35880042638332316</v>
      </c>
      <c r="H13" s="14">
        <f>'Ratio Analysis - TCS'!H8</f>
        <v>0.37034492235811461</v>
      </c>
      <c r="I13" s="14">
        <f>'Ratio Analysis - TCS'!I8</f>
        <v>0.37740679751188488</v>
      </c>
      <c r="J13" s="14">
        <f>'Ratio Analysis - TCS'!J8</f>
        <v>0.43318602574680426</v>
      </c>
      <c r="K13" s="14">
        <f>'Ratio Analysis - TCS'!K8</f>
        <v>0.46557894969401054</v>
      </c>
    </row>
    <row r="14" spans="1:11" x14ac:dyDescent="0.25">
      <c r="A14" t="s">
        <v>39</v>
      </c>
      <c r="B14" s="14"/>
      <c r="C14" s="14">
        <f>'Ratio Analysis - INFY'!C8</f>
        <v>0.25973589738206704</v>
      </c>
      <c r="D14" s="14">
        <f>'Ratio Analysis - INFY'!D8</f>
        <v>0.2398470839260313</v>
      </c>
      <c r="E14" s="14">
        <f>'Ratio Analysis - INFY'!E8</f>
        <v>0.21958906414944235</v>
      </c>
      <c r="F14" s="14">
        <f>'Ratio Analysis - INFY'!F8</f>
        <v>0.23940674801726583</v>
      </c>
      <c r="G14" s="14">
        <f>'Ratio Analysis - INFY'!G8</f>
        <v>0.23711229123374125</v>
      </c>
      <c r="H14" s="14">
        <f>'Ratio Analysis - INFY'!H8</f>
        <v>0.25363393198318684</v>
      </c>
      <c r="I14" s="14">
        <f>'Ratio Analysis - INFY'!I8</f>
        <v>0.27135304923366005</v>
      </c>
      <c r="J14" s="14">
        <f>'Ratio Analysis - INFY'!J8</f>
        <v>0.28993299151575552</v>
      </c>
      <c r="K14" s="14">
        <f>'Ratio Analysis - INFY'!K8</f>
        <v>0.31802073503111572</v>
      </c>
    </row>
    <row r="15" spans="1:11" x14ac:dyDescent="0.25">
      <c r="A15" t="s">
        <v>40</v>
      </c>
      <c r="B15" s="14"/>
      <c r="C15" s="14">
        <f>'Ratio Analysis - HCL'!C8</f>
        <v>0.33324786262504075</v>
      </c>
      <c r="D15" s="14">
        <f>'Ratio Analysis - HCL'!D8</f>
        <v>0.21586019097267375</v>
      </c>
      <c r="E15" s="14">
        <f>'Ratio Analysis - HCL'!E8</f>
        <v>0.28344907394065189</v>
      </c>
      <c r="F15" s="14">
        <f>'Ratio Analysis - HCL'!F8</f>
        <v>0.25093514415606838</v>
      </c>
      <c r="G15" s="14">
        <f>'Ratio Analysis - HCL'!G8</f>
        <v>0.25997045790251105</v>
      </c>
      <c r="H15" s="14">
        <f>'Ratio Analysis - HCL'!H8</f>
        <v>0.23806653030466143</v>
      </c>
      <c r="I15" s="14">
        <f>'Ratio Analysis - HCL'!I8</f>
        <v>0.19990493529322081</v>
      </c>
      <c r="J15" s="14">
        <f>'Ratio Analysis - HCL'!J8</f>
        <v>0.22113557433982045</v>
      </c>
      <c r="K15" s="14">
        <f>'Ratio Analysis - HCL'!K8</f>
        <v>0.23313239772691596</v>
      </c>
    </row>
    <row r="17" spans="1:11" x14ac:dyDescent="0.25">
      <c r="A17" s="13" t="s">
        <v>21</v>
      </c>
    </row>
    <row r="18" spans="1:11" x14ac:dyDescent="0.25">
      <c r="A18" t="s">
        <v>38</v>
      </c>
      <c r="B18" s="3">
        <f>'Ratio Analysis - TCS'!B14</f>
        <v>0.99553295371948614</v>
      </c>
      <c r="C18" s="3">
        <f>'Ratio Analysis - TCS'!C14</f>
        <v>0.98673113419272529</v>
      </c>
      <c r="D18" s="3">
        <f>'Ratio Analysis - TCS'!D14</f>
        <v>1.8798252938531697</v>
      </c>
      <c r="E18" s="3">
        <f>'Ratio Analysis - TCS'!E14</f>
        <v>3.1549751929437706</v>
      </c>
      <c r="F18" s="3">
        <f>'Ratio Analysis - TCS'!F14</f>
        <v>2.404532196544761</v>
      </c>
      <c r="G18" s="3">
        <f>'Ratio Analysis - TCS'!G14</f>
        <v>1.899067197971382</v>
      </c>
      <c r="H18" s="3">
        <f>'Ratio Analysis - TCS'!H14</f>
        <v>1.3232076866223208</v>
      </c>
      <c r="I18" s="3">
        <f>'Ratio Analysis - TCS'!I14</f>
        <v>1.1268921095008051</v>
      </c>
      <c r="J18" s="3">
        <f>'Ratio Analysis - TCS'!J14</f>
        <v>1.1447899695402706</v>
      </c>
      <c r="K18" s="3">
        <f>'Ratio Analysis - TCS'!K14</f>
        <v>1.1003489600073466</v>
      </c>
    </row>
    <row r="19" spans="1:11" x14ac:dyDescent="0.25">
      <c r="A19" t="s">
        <v>39</v>
      </c>
      <c r="B19" s="3">
        <f>'Ratio Analysis - INFY'!B14</f>
        <v>2.4082786135815808</v>
      </c>
      <c r="C19" s="3">
        <f>'Ratio Analysis - INFY'!C14</f>
        <v>2.0150293491582274</v>
      </c>
      <c r="D19" s="3">
        <f>'Ratio Analysis - INFY'!D14</f>
        <v>2.4754135508724224</v>
      </c>
      <c r="E19" s="3">
        <f>'Ratio Analysis - INFY'!E14</f>
        <v>2.3260543780774996</v>
      </c>
      <c r="F19" s="3">
        <f>'Ratio Analysis - INFY'!F14</f>
        <v>1.859269762495569</v>
      </c>
      <c r="G19" s="3">
        <f>'Ratio Analysis - INFY'!G14</f>
        <v>1.405461959437708</v>
      </c>
      <c r="H19" s="3">
        <f>'Ratio Analysis - INFY'!H14</f>
        <v>1.1173762945914845</v>
      </c>
      <c r="I19" s="3">
        <f>'Ratio Analysis - INFY'!I14</f>
        <v>1.1337104546406871</v>
      </c>
      <c r="J19" s="3">
        <f>'Ratio Analysis - INFY'!J14</f>
        <v>0.71853703538374547</v>
      </c>
      <c r="K19" s="3">
        <f>'Ratio Analysis - INFY'!K14</f>
        <v>0.48695962843872814</v>
      </c>
    </row>
    <row r="20" spans="1:11" x14ac:dyDescent="0.25">
      <c r="A20" t="s">
        <v>40</v>
      </c>
      <c r="B20" s="3">
        <f>'Ratio Analysis - HCL'!B14</f>
        <v>1.1800397375068161</v>
      </c>
      <c r="C20" s="3">
        <f>'Ratio Analysis - HCL'!C14</f>
        <v>1.235860396457191</v>
      </c>
      <c r="D20" s="3">
        <f>'Ratio Analysis - HCL'!D14</f>
        <v>1.1544314485900973</v>
      </c>
      <c r="E20" s="3">
        <f>'Ratio Analysis - HCL'!E14</f>
        <v>1.2013676019806649</v>
      </c>
      <c r="F20" s="3">
        <f>'Ratio Analysis - HCL'!F14</f>
        <v>0.78645447816432268</v>
      </c>
      <c r="G20" s="3">
        <f>'Ratio Analysis - HCL'!G14</f>
        <v>0.97554374093765106</v>
      </c>
      <c r="H20" s="3">
        <f>'Ratio Analysis - HCL'!H14</f>
        <v>0.54577384482050817</v>
      </c>
      <c r="I20" s="3">
        <f>'Ratio Analysis - HCL'!I14</f>
        <v>1.3869110874955721</v>
      </c>
      <c r="J20" s="3">
        <f>'Ratio Analysis - HCL'!J14</f>
        <v>1.5896075458986021</v>
      </c>
      <c r="K20" s="3">
        <f>'Ratio Analysis - HCL'!K14</f>
        <v>1.381492168178071</v>
      </c>
    </row>
    <row r="22" spans="1:11" x14ac:dyDescent="0.25">
      <c r="A22" s="13" t="s">
        <v>41</v>
      </c>
    </row>
    <row r="23" spans="1:11" x14ac:dyDescent="0.25">
      <c r="A23" t="s">
        <v>38</v>
      </c>
      <c r="B23" s="3">
        <f>'Ratio Analysis - TCS'!B18</f>
        <v>1.3391843134897374</v>
      </c>
      <c r="C23" s="3">
        <f>'Ratio Analysis - TCS'!C18</f>
        <v>1.4164287210128101</v>
      </c>
      <c r="D23" s="3">
        <f>'Ratio Analysis - TCS'!D18</f>
        <v>1.236101194226273</v>
      </c>
      <c r="E23" s="3">
        <f>'Ratio Analysis - TCS'!E18</f>
        <v>1.1819473319473319</v>
      </c>
      <c r="F23" s="3">
        <f>'Ratio Analysis - TCS'!F18</f>
        <v>1.2291125920729569</v>
      </c>
      <c r="G23" s="3">
        <f>'Ratio Analysis - TCS'!G18</f>
        <v>1.2669885093271338</v>
      </c>
      <c r="H23" s="3">
        <f>'Ratio Analysis - TCS'!H18</f>
        <v>1.4173618567770712</v>
      </c>
      <c r="I23" s="3">
        <f>'Ratio Analysis - TCS'!I18</f>
        <v>1.4923083987693437</v>
      </c>
      <c r="J23" s="3">
        <f>'Ratio Analysis - TCS'!J18</f>
        <v>1.5685061104556686</v>
      </c>
      <c r="K23" s="3">
        <f>'Ratio Analysis - TCS'!K18</f>
        <v>1.5663333552617151</v>
      </c>
    </row>
    <row r="24" spans="1:11" x14ac:dyDescent="0.25">
      <c r="A24" t="s">
        <v>39</v>
      </c>
      <c r="B24" s="3">
        <f>'Ratio Analysis - INFY'!B18</f>
        <v>1.2792724006287897</v>
      </c>
      <c r="C24" s="3">
        <f>'Ratio Analysis - INFY'!C18</f>
        <v>1.3065476190476191</v>
      </c>
      <c r="D24" s="3">
        <f>'Ratio Analysis - INFY'!D18</f>
        <v>1.2162801243845556</v>
      </c>
      <c r="E24" s="3">
        <f>'Ratio Analysis - INFY'!E18</f>
        <v>1.2053579194572497</v>
      </c>
      <c r="F24" s="3">
        <f>'Ratio Analysis - INFY'!F18</f>
        <v>1.2221828599593372</v>
      </c>
      <c r="G24" s="3">
        <f>'Ratio Analysis - INFY'!G18</f>
        <v>1.2932037042734517</v>
      </c>
      <c r="H24" s="3">
        <f>'Ratio Analysis - INFY'!H18</f>
        <v>1.3942044833242209</v>
      </c>
      <c r="I24" s="3">
        <f>'Ratio Analysis - INFY'!I18</f>
        <v>1.4002109869500665</v>
      </c>
      <c r="J24" s="3">
        <f>'Ratio Analysis - INFY'!J18</f>
        <v>1.5412617513467837</v>
      </c>
      <c r="K24" s="3">
        <f>'Ratio Analysis - INFY'!K18</f>
        <v>1.6438551355630318</v>
      </c>
    </row>
    <row r="25" spans="1:11" x14ac:dyDescent="0.25">
      <c r="A25" t="s">
        <v>40</v>
      </c>
      <c r="B25" s="3">
        <f>'Ratio Analysis - HCL'!B18</f>
        <v>1.52901746096834</v>
      </c>
      <c r="C25" s="3">
        <f>'Ratio Analysis - HCL'!C18</f>
        <v>1.4500088865045262</v>
      </c>
      <c r="D25" s="3">
        <f>'Ratio Analysis - HCL'!D18</f>
        <v>1.4253102103767812</v>
      </c>
      <c r="E25" s="3">
        <f>'Ratio Analysis - HCL'!E18</f>
        <v>1.3816194674234648</v>
      </c>
      <c r="F25" s="3">
        <f>'Ratio Analysis - HCL'!F18</f>
        <v>1.318886384873303</v>
      </c>
      <c r="G25" s="3">
        <f>'Ratio Analysis - HCL'!G18</f>
        <v>1.4070510501820637</v>
      </c>
      <c r="H25" s="3">
        <f>'Ratio Analysis - HCL'!H18</f>
        <v>1.6106065615215572</v>
      </c>
      <c r="I25" s="3">
        <f>'Ratio Analysis - HCL'!I18</f>
        <v>1.4321593821776906</v>
      </c>
      <c r="J25" s="3">
        <f>'Ratio Analysis - HCL'!J18</f>
        <v>1.4340708963648678</v>
      </c>
      <c r="K25" s="3">
        <f>'Ratio Analysis - HCL'!K18</f>
        <v>1.4258845836264107</v>
      </c>
    </row>
    <row r="27" spans="1:11" x14ac:dyDescent="0.25">
      <c r="A27" s="13" t="s">
        <v>29</v>
      </c>
    </row>
    <row r="28" spans="1:11" x14ac:dyDescent="0.25">
      <c r="A28" t="s">
        <v>38</v>
      </c>
      <c r="B28" s="15"/>
      <c r="C28" s="15">
        <f>'Ratio Analysis - TCS'!C24</f>
        <v>1.4037851711311489</v>
      </c>
      <c r="D28" s="15">
        <f>'Ratio Analysis - TCS'!D24</f>
        <v>1.3827207062580458</v>
      </c>
      <c r="E28" s="15">
        <f>'Ratio Analysis - TCS'!E24</f>
        <v>1.2819686922947793</v>
      </c>
      <c r="F28" s="15">
        <f>'Ratio Analysis - TCS'!F24</f>
        <v>1.2218896263840084</v>
      </c>
      <c r="G28" s="15">
        <f>'Ratio Analysis - TCS'!G24</f>
        <v>1.3767617690969607</v>
      </c>
      <c r="H28" s="15">
        <f>'Ratio Analysis - TCS'!H24</f>
        <v>1.3805684105272604</v>
      </c>
      <c r="I28" s="15">
        <f>'Ratio Analysis - TCS'!I24</f>
        <v>1.3378886258955989</v>
      </c>
      <c r="J28" s="15">
        <f>'Ratio Analysis - TCS'!J24</f>
        <v>1.4452597853209113</v>
      </c>
      <c r="K28" s="15">
        <f>'Ratio Analysis - TCS'!K24</f>
        <v>1.6132537889866554</v>
      </c>
    </row>
    <row r="29" spans="1:11" x14ac:dyDescent="0.25">
      <c r="A29" t="s">
        <v>39</v>
      </c>
      <c r="B29" s="15"/>
      <c r="C29" s="15">
        <f>'Ratio Analysis - INFY'!C24</f>
        <v>0.92083891120035699</v>
      </c>
      <c r="D29" s="15">
        <f>'Ratio Analysis - INFY'!D24</f>
        <v>0.92739785128760066</v>
      </c>
      <c r="E29" s="15">
        <f>'Ratio Analysis - INFY'!E24</f>
        <v>0.90408604324911845</v>
      </c>
      <c r="F29" s="15">
        <f>'Ratio Analysis - INFY'!F24</f>
        <v>0.9087306227191887</v>
      </c>
      <c r="G29" s="15">
        <f>'Ratio Analysis - INFY'!G24</f>
        <v>1.0471131781048251</v>
      </c>
      <c r="H29" s="15">
        <f>'Ratio Analysis - INFY'!H24</f>
        <v>1.064378560949814</v>
      </c>
      <c r="I29" s="15">
        <f>'Ratio Analysis - INFY'!I24</f>
        <v>1.0302793122306346</v>
      </c>
      <c r="J29" s="15">
        <f>'Ratio Analysis - INFY'!J24</f>
        <v>1.1053870852657866</v>
      </c>
      <c r="K29" s="15">
        <f>'Ratio Analysis - INFY'!K24</f>
        <v>1.2387278566248834</v>
      </c>
    </row>
    <row r="30" spans="1:11" x14ac:dyDescent="0.25">
      <c r="A30" t="s">
        <v>40</v>
      </c>
      <c r="B30" s="15"/>
      <c r="C30" s="15">
        <f>'Ratio Analysis - HCL'!C24</f>
        <v>1.1603235355624801</v>
      </c>
      <c r="D30" s="15">
        <f>'Ratio Analysis - HCL'!D24</f>
        <v>0.85826142346873602</v>
      </c>
      <c r="E30" s="15">
        <f>'Ratio Analysis - HCL'!E24</f>
        <v>1.143161313520386</v>
      </c>
      <c r="F30" s="15">
        <f>'Ratio Analysis - HCL'!F24</f>
        <v>1.1050335463088394</v>
      </c>
      <c r="G30" s="15">
        <f>'Ratio Analysis - HCL'!G24</f>
        <v>1.1542440143692754</v>
      </c>
      <c r="H30" s="15">
        <f>'Ratio Analysis - HCL'!H24</f>
        <v>1.0096480788847331</v>
      </c>
      <c r="I30" s="15">
        <f>'Ratio Analysis - HCL'!I24</f>
        <v>0.90374616559875875</v>
      </c>
      <c r="J30" s="15">
        <f>'Ratio Analysis - HCL'!J24</f>
        <v>0.99124411320927253</v>
      </c>
      <c r="K30" s="15">
        <f>'Ratio Analysis - HCL'!K24</f>
        <v>1.1287636341678973</v>
      </c>
    </row>
    <row r="32" spans="1:11" x14ac:dyDescent="0.25">
      <c r="A32" s="13" t="s">
        <v>42</v>
      </c>
    </row>
    <row r="33" spans="1:11" x14ac:dyDescent="0.25">
      <c r="A33" t="s">
        <v>38</v>
      </c>
      <c r="C33" s="4">
        <f>'Ratio Analysis - TCS'!C33</f>
        <v>-34.473416413545309</v>
      </c>
      <c r="D33" s="4">
        <f>'Ratio Analysis - TCS'!D33</f>
        <v>-368.70775669811383</v>
      </c>
      <c r="E33" s="4">
        <f>'Ratio Analysis - TCS'!E33</f>
        <v>-241.36341415650136</v>
      </c>
      <c r="F33" s="4">
        <f>'Ratio Analysis - TCS'!F33</f>
        <v>-191.05747265104594</v>
      </c>
      <c r="G33" s="4">
        <f>'Ratio Analysis - TCS'!G33</f>
        <v>-197.93938063749317</v>
      </c>
      <c r="H33" s="4">
        <f>'Ratio Analysis - TCS'!H33</f>
        <v>-236.31282347520155</v>
      </c>
      <c r="I33" s="4">
        <f>'Ratio Analysis - TCS'!I33</f>
        <v>-258.29375722004585</v>
      </c>
      <c r="J33" s="4">
        <f>'Ratio Analysis - TCS'!J33</f>
        <v>-324.01996365561126</v>
      </c>
      <c r="K33" s="4">
        <f>'Ratio Analysis - TCS'!K33</f>
        <v>-300.92346943467004</v>
      </c>
    </row>
    <row r="34" spans="1:11" x14ac:dyDescent="0.25">
      <c r="A34" t="s">
        <v>39</v>
      </c>
      <c r="C34" s="4">
        <f>'Ratio Analysis - INFY'!C33</f>
        <v>46.715583400622251</v>
      </c>
      <c r="D34" s="4">
        <f>'Ratio Analysis - INFY'!D33</f>
        <v>40.962221578930126</v>
      </c>
      <c r="E34" s="4">
        <f>'Ratio Analysis - INFY'!E33</f>
        <v>38.58682862241028</v>
      </c>
      <c r="F34" s="4">
        <f>'Ratio Analysis - INFY'!F33</f>
        <v>34.12838404596252</v>
      </c>
      <c r="G34" s="4">
        <f>'Ratio Analysis - INFY'!G33</f>
        <v>8.7879439038869123</v>
      </c>
      <c r="H34" s="4">
        <f>'Ratio Analysis - INFY'!H33</f>
        <v>-17.95104932584259</v>
      </c>
      <c r="I34" s="4">
        <f>'Ratio Analysis - INFY'!I33</f>
        <v>-14.749253805370742</v>
      </c>
      <c r="J34" s="4">
        <f>'Ratio Analysis - INFY'!J33</f>
        <v>-1.8756261438829753</v>
      </c>
      <c r="K34" s="4">
        <f>'Ratio Analysis - INFY'!K33</f>
        <v>-1.0366043785369428</v>
      </c>
    </row>
    <row r="35" spans="1:11" x14ac:dyDescent="0.25">
      <c r="A35" t="s">
        <v>40</v>
      </c>
      <c r="C35" s="4">
        <f>'Ratio Analysis - HCL'!C33</f>
        <v>-0.22449532749973855</v>
      </c>
      <c r="D35" s="4">
        <f>'Ratio Analysis - HCL'!D33</f>
        <v>21.072594155795784</v>
      </c>
      <c r="E35" s="4">
        <f>'Ratio Analysis - HCL'!E33</f>
        <v>0.66888018980834829</v>
      </c>
      <c r="F35" s="4">
        <f>'Ratio Analysis - HCL'!F33</f>
        <v>-6.89125473804026</v>
      </c>
      <c r="G35" s="4">
        <f>'Ratio Analysis - HCL'!G33</f>
        <v>13.052967601096043</v>
      </c>
      <c r="H35" s="4">
        <f>'Ratio Analysis - HCL'!H33</f>
        <v>22.837192274786872</v>
      </c>
      <c r="I35" s="4">
        <f>'Ratio Analysis - HCL'!I33</f>
        <v>-21.219131689937953</v>
      </c>
      <c r="J35" s="4">
        <f>'Ratio Analysis - HCL'!J33</f>
        <v>-57.691237305538834</v>
      </c>
      <c r="K35" s="4">
        <f>'Ratio Analysis - HCL'!K33</f>
        <v>-37.018925697326367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47802-6276-49B6-B43A-7B1B0B58630E}">
  <dimension ref="A2:K33"/>
  <sheetViews>
    <sheetView zoomScale="128" workbookViewId="0">
      <selection activeCell="A34" sqref="A34"/>
    </sheetView>
  </sheetViews>
  <sheetFormatPr defaultRowHeight="15" x14ac:dyDescent="0.25"/>
  <cols>
    <col min="1" max="1" width="25.5703125" customWidth="1"/>
    <col min="3" max="3" width="9" bestFit="1" customWidth="1"/>
    <col min="4" max="4" width="9.5703125" bestFit="1" customWidth="1"/>
    <col min="5" max="11" width="9" bestFit="1" customWidth="1"/>
  </cols>
  <sheetData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s="8" t="s">
        <v>11</v>
      </c>
      <c r="B3" s="9">
        <f>[1]IS!B42</f>
        <v>0.3210399287683906</v>
      </c>
      <c r="C3" s="9">
        <f>[1]IS!C42</f>
        <v>0.28669231794422717</v>
      </c>
      <c r="D3" s="9">
        <f>[1]IS!D42</f>
        <v>0.30216593573793965</v>
      </c>
      <c r="E3" s="9">
        <f>[1]IS!E42</f>
        <v>0.29898434366994853</v>
      </c>
      <c r="F3" s="9">
        <f>[1]IS!F42</f>
        <v>0.28527921985703691</v>
      </c>
      <c r="G3" s="9">
        <f>[1]IS!G42</f>
        <v>0.2906137662992293</v>
      </c>
      <c r="H3" s="9">
        <f>[1]IS!H42</f>
        <v>0.28909688562036884</v>
      </c>
      <c r="I3" s="9">
        <f>[1]IS!I42</f>
        <v>0.28965220457710489</v>
      </c>
      <c r="J3" s="9">
        <f>[1]IS!J42</f>
        <v>0.29153811576732119</v>
      </c>
      <c r="K3" s="9">
        <f>[1]IS!K42</f>
        <v>0.27394531403583117</v>
      </c>
    </row>
    <row r="4" spans="1:11" x14ac:dyDescent="0.25">
      <c r="A4" t="s">
        <v>12</v>
      </c>
      <c r="B4" s="2">
        <f>[1]IS!B43</f>
        <v>0.30487200719985713</v>
      </c>
      <c r="C4" s="2">
        <f>[1]IS!C43</f>
        <v>0.26840701459325161</v>
      </c>
      <c r="D4" s="2">
        <f>[1]IS!D43</f>
        <v>0.28526805692293922</v>
      </c>
      <c r="E4" s="2">
        <f>[1]IS!E43</f>
        <v>0.28272238454172705</v>
      </c>
      <c r="F4" s="2">
        <f>[1]IS!F43</f>
        <v>0.26938917204487717</v>
      </c>
      <c r="G4" s="2">
        <f>[1]IS!G43</f>
        <v>0.2769774629578044</v>
      </c>
      <c r="H4" s="2">
        <f>[1]IS!H43</f>
        <v>0.26725103843606268</v>
      </c>
      <c r="I4" s="2">
        <f>[1]IS!I43</f>
        <v>0.26535613318909096</v>
      </c>
      <c r="J4" s="2">
        <f>[1]IS!J43</f>
        <v>0.26802096316122836</v>
      </c>
      <c r="K4" s="2">
        <f>[1]IS!K43</f>
        <v>0.25200627329002606</v>
      </c>
    </row>
    <row r="5" spans="1:11" x14ac:dyDescent="0.25">
      <c r="A5" t="s">
        <v>13</v>
      </c>
      <c r="B5" s="2">
        <f>[1]IS!B44</f>
        <v>0.30441039185773811</v>
      </c>
      <c r="C5" s="2">
        <f>[1]IS!C44</f>
        <v>0.26734782943286373</v>
      </c>
      <c r="D5" s="2">
        <f>[1]IS!D44</f>
        <v>0.2849727020495838</v>
      </c>
      <c r="E5" s="2">
        <f>[1]IS!E44</f>
        <v>0.28246049088691921</v>
      </c>
      <c r="F5" s="2">
        <f>[1]IS!F44</f>
        <v>0.26897890268726427</v>
      </c>
      <c r="G5" s="2">
        <f>[1]IS!G44</f>
        <v>0.27566423919243371</v>
      </c>
      <c r="H5" s="2">
        <f>[1]IS!H44</f>
        <v>0.26153112832036451</v>
      </c>
      <c r="I5" s="2">
        <f>[1]IS!I44</f>
        <v>0.2615488521376359</v>
      </c>
      <c r="J5" s="2">
        <f>[1]IS!J44</f>
        <v>0.26401630468095538</v>
      </c>
      <c r="K5" s="2">
        <f>[1]IS!K44</f>
        <v>0.24860314450846852</v>
      </c>
    </row>
    <row r="6" spans="1:11" x14ac:dyDescent="0.25">
      <c r="A6" s="8" t="s">
        <v>14</v>
      </c>
      <c r="B6" s="9">
        <f>[1]IS!B45</f>
        <v>0.22965566994742712</v>
      </c>
      <c r="C6" s="9">
        <f>[1]IS!C45</f>
        <v>0.20181528416690497</v>
      </c>
      <c r="D6" s="9">
        <f>[1]IS!D45</f>
        <v>0.21722008413138816</v>
      </c>
      <c r="E6" s="9">
        <f>[1]IS!E45</f>
        <v>0.21515382160131602</v>
      </c>
      <c r="F6" s="9">
        <f>[1]IS!F45</f>
        <v>0.20376185441749642</v>
      </c>
      <c r="G6" s="9">
        <f>[1]IS!G45</f>
        <v>0.20873625426134479</v>
      </c>
      <c r="H6" s="9">
        <f>[1]IS!H45</f>
        <v>0.20019685404943638</v>
      </c>
      <c r="I6" s="9">
        <f>[1]IS!I45</f>
        <v>0.19383065070437688</v>
      </c>
      <c r="J6" s="9">
        <f>[1]IS!J45</f>
        <v>0.19577365506814048</v>
      </c>
      <c r="K6" s="9">
        <f>[1]IS!K45</f>
        <v>0.18412280970000919</v>
      </c>
    </row>
    <row r="7" spans="1:11" x14ac:dyDescent="0.25">
      <c r="A7" t="s">
        <v>15</v>
      </c>
      <c r="B7" s="2"/>
      <c r="C7" s="2">
        <f>[1]IS!C20/AVERAGE([1]BS!B22:C22)</f>
        <v>0.28330530322112013</v>
      </c>
      <c r="D7" s="2">
        <f>[1]IS!D20/AVERAGE([1]BS!C22:D22)</f>
        <v>0.30035470814358517</v>
      </c>
      <c r="E7" s="2">
        <f>[1]IS!E20/AVERAGE([1]BS!D22:E22)</f>
        <v>0.27582046332046334</v>
      </c>
      <c r="F7" s="2">
        <f>[1]IS!F20/AVERAGE([1]BS!E22:F22)</f>
        <v>0.2489744961655074</v>
      </c>
      <c r="G7" s="2">
        <f>[1]IS!G20/AVERAGE([1]BS!F22:G22)</f>
        <v>0.28738009469152204</v>
      </c>
      <c r="H7" s="2">
        <f>[1]IS!H20/AVERAGE([1]BS!G22:H22)</f>
        <v>0.27638545258758829</v>
      </c>
      <c r="I7" s="2">
        <f>[1]IS!I20/AVERAGE([1]BS!H22:I22)</f>
        <v>0.25932382292732858</v>
      </c>
      <c r="J7" s="2">
        <f>[1]IS!J20/AVERAGE([1]BS!I22:J22)</f>
        <v>0.28294379069527087</v>
      </c>
      <c r="K7" s="2">
        <f>[1]IS!K20/AVERAGE([1]BS!J22:K22)</f>
        <v>0.2970368203874087</v>
      </c>
    </row>
    <row r="8" spans="1:11" x14ac:dyDescent="0.25">
      <c r="A8" s="8" t="s">
        <v>16</v>
      </c>
      <c r="B8" s="8"/>
      <c r="C8" s="9">
        <f>[1]IS!C20/AVERAGE([1]BS!B38:C38)</f>
        <v>0.39054005364860589</v>
      </c>
      <c r="D8" s="9">
        <f>[1]IS!D20/AVERAGE([1]BS!C38:D38)</f>
        <v>0.39402702437674897</v>
      </c>
      <c r="E8" s="9">
        <f>[1]IS!E20/AVERAGE([1]BS!D38:E38)</f>
        <v>0.33275740948185839</v>
      </c>
      <c r="F8" s="9">
        <f>[1]IS!F20/AVERAGE([1]BS!E38:F38)</f>
        <v>0.30011039451513566</v>
      </c>
      <c r="G8" s="9">
        <f>[1]IS!G20/AVERAGE([1]BS!F38:G38)</f>
        <v>0.35880042638332316</v>
      </c>
      <c r="H8" s="9">
        <f>[1]IS!H20/AVERAGE([1]BS!G38:H38)</f>
        <v>0.37034492235811461</v>
      </c>
      <c r="I8" s="9">
        <f>[1]IS!I20/AVERAGE([1]BS!H38:I38)</f>
        <v>0.37740679751188488</v>
      </c>
      <c r="J8" s="9">
        <f>[1]IS!J20/AVERAGE([1]BS!I38:J38)</f>
        <v>0.43318602574680426</v>
      </c>
      <c r="K8" s="9">
        <f>[1]IS!K20/AVERAGE([1]BS!J38:K38)</f>
        <v>0.46557894969401054</v>
      </c>
    </row>
    <row r="9" spans="1:11" x14ac:dyDescent="0.25">
      <c r="A9" t="s">
        <v>17</v>
      </c>
      <c r="C9" s="2">
        <f>[1]IS!C16/(AVERAGE([1]BS!B38:C38)+AVERAGE([1]BS!B28:C28))</f>
        <v>0.51817307579082073</v>
      </c>
      <c r="D9" s="2">
        <f>[1]IS!D16/(AVERAGE([1]BS!C38:D38)+AVERAGE([1]BS!C28:D28))</f>
        <v>0.51663553286376929</v>
      </c>
      <c r="E9" s="2">
        <f>[1]IS!E16/(AVERAGE([1]BS!D38:E38)+AVERAGE([1]BS!D28:E28))</f>
        <v>0.43683335335512546</v>
      </c>
      <c r="F9" s="2">
        <f>[1]IS!F16/(AVERAGE([1]BS!E38:F38)+AVERAGE([1]BS!E28:F28))</f>
        <v>0.39648155136876939</v>
      </c>
      <c r="G9" s="2">
        <f>[1]IS!G16/(AVERAGE([1]BS!F38:G38)+AVERAGE([1]BS!F28:G28))</f>
        <v>0.47583562642784299</v>
      </c>
      <c r="H9" s="2">
        <f>[1]IS!H16/(AVERAGE([1]BS!G38:H38)+AVERAGE([1]BS!G28:H28))</f>
        <v>0.47546779149550106</v>
      </c>
      <c r="I9" s="2">
        <f>[1]IS!I16/(AVERAGE([1]BS!H38:I38)+AVERAGE([1]BS!H28:I28))</f>
        <v>0.47927844288752386</v>
      </c>
      <c r="J9" s="2">
        <f>[1]IS!J16/(AVERAGE([1]BS!I38:J38)+AVERAGE([1]BS!I28:J28))</f>
        <v>0.55283550638746215</v>
      </c>
      <c r="K9" s="2">
        <f>[1]IS!K16/(AVERAGE([1]BS!J38:K38)+AVERAGE([1]BS!J28:K28))</f>
        <v>0.59585896303641617</v>
      </c>
    </row>
    <row r="10" spans="1:11" x14ac:dyDescent="0.25"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1" t="s">
        <v>18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x14ac:dyDescent="0.25">
      <c r="A12" t="s">
        <v>19</v>
      </c>
      <c r="B12" s="3">
        <f>[1]BS!B79</f>
        <v>2.7375138079591279</v>
      </c>
      <c r="C12" s="3">
        <f>[1]BS!C79</f>
        <v>2.402422650780776</v>
      </c>
      <c r="D12" s="3">
        <f>[1]BS!D79</f>
        <v>4.0601836983749759</v>
      </c>
      <c r="E12" s="3">
        <f>[1]BS!E79</f>
        <v>5.534454244762955</v>
      </c>
      <c r="F12" s="3">
        <f>[1]BS!F79</f>
        <v>4.5559793583127668</v>
      </c>
      <c r="G12" s="3">
        <f>[1]BS!G79</f>
        <v>4.171843868864336</v>
      </c>
      <c r="H12" s="3">
        <f>[1]BS!H79</f>
        <v>3.3347006651884699</v>
      </c>
      <c r="I12" s="3">
        <f>[1]BS!I79</f>
        <v>2.9067486458790808</v>
      </c>
      <c r="J12" s="3">
        <f>[1]BS!J79</f>
        <v>2.5574366602913745</v>
      </c>
      <c r="K12" s="3">
        <f>[1]BS!K79</f>
        <v>2.5315671059277287</v>
      </c>
    </row>
    <row r="13" spans="1:11" x14ac:dyDescent="0.25">
      <c r="A13" t="s">
        <v>20</v>
      </c>
      <c r="B13" s="3">
        <f>[1]BS!B80</f>
        <v>2.1589049610377842</v>
      </c>
      <c r="C13" s="3">
        <f>[1]BS!C80</f>
        <v>1.9926223924906881</v>
      </c>
      <c r="D13" s="3">
        <f>[1]BS!D80</f>
        <v>3.4260389235018307</v>
      </c>
      <c r="E13" s="3">
        <f>[1]BS!E80</f>
        <v>4.7134785005512683</v>
      </c>
      <c r="F13" s="3">
        <f>[1]BS!F80</f>
        <v>3.803623513574153</v>
      </c>
      <c r="G13" s="3">
        <f>[1]BS!G80</f>
        <v>3.1373392501358448</v>
      </c>
      <c r="H13" s="3">
        <f>[1]BS!H80</f>
        <v>2.4515151515151516</v>
      </c>
      <c r="I13" s="3">
        <f>[1]BS!I80</f>
        <v>2.0075537988581469</v>
      </c>
      <c r="J13" s="3">
        <f>[1]BS!J80</f>
        <v>2.1320157729451488</v>
      </c>
      <c r="K13" s="3">
        <f>[1]BS!K80</f>
        <v>2.2471876578355294</v>
      </c>
    </row>
    <row r="14" spans="1:11" x14ac:dyDescent="0.25">
      <c r="A14" s="8" t="s">
        <v>21</v>
      </c>
      <c r="B14" s="10">
        <f>[1]BS!B81</f>
        <v>0.99553295371948614</v>
      </c>
      <c r="C14" s="10">
        <f>[1]BS!C81</f>
        <v>0.98673113419272529</v>
      </c>
      <c r="D14" s="10">
        <f>[1]BS!D81</f>
        <v>1.8798252938531697</v>
      </c>
      <c r="E14" s="10">
        <f>[1]BS!E81</f>
        <v>3.1549751929437706</v>
      </c>
      <c r="F14" s="10">
        <f>[1]BS!F81</f>
        <v>2.404532196544761</v>
      </c>
      <c r="G14" s="10">
        <f>[1]BS!G81</f>
        <v>1.899067197971382</v>
      </c>
      <c r="H14" s="10">
        <f>[1]BS!H81</f>
        <v>1.3232076866223208</v>
      </c>
      <c r="I14" s="10">
        <f>[1]BS!I81</f>
        <v>1.1268921095008051</v>
      </c>
      <c r="J14" s="10">
        <f>[1]BS!J81</f>
        <v>1.1447899695402706</v>
      </c>
      <c r="K14" s="10">
        <f>[1]BS!K81</f>
        <v>1.1003489600073466</v>
      </c>
    </row>
    <row r="15" spans="1:11" x14ac:dyDescent="0.25">
      <c r="A15" t="s">
        <v>22</v>
      </c>
      <c r="B15" s="4">
        <f>[1]BS!B12/(SUM([1]IS!B8:B12)/365)</f>
        <v>276.36083246832635</v>
      </c>
      <c r="C15" s="4">
        <f>[1]BS!C12/(SUM([1]IS!C8:C12)/365)</f>
        <v>253.92023566734645</v>
      </c>
      <c r="D15" s="4">
        <f>[1]BS!D12/(SUM([1]IS!D8:D12)/365)</f>
        <v>295.92203311572547</v>
      </c>
      <c r="E15" s="4">
        <f>[1]BS!E12/(SUM([1]IS!E8:E12)/365)</f>
        <v>342.24902224038294</v>
      </c>
      <c r="F15" s="4">
        <f>[1]BS!F12/(SUM([1]IS!F8:F12)/365)</f>
        <v>327.27027862410034</v>
      </c>
      <c r="G15" s="4">
        <f>[1]BS!G12/(SUM([1]IS!G8:G12)/365)</f>
        <v>314.40499453051228</v>
      </c>
      <c r="H15" s="4">
        <f>[1]BS!H12/(SUM([1]IS!H8:H12)/365)</f>
        <v>286.80342215256007</v>
      </c>
      <c r="I15" s="4">
        <f>[1]BS!I12/(SUM([1]IS!I8:I12)/365)</f>
        <v>304.90117712391356</v>
      </c>
      <c r="J15" s="4">
        <f>[1]BS!J12/(SUM([1]IS!J8:J12)/365)</f>
        <v>285.03248087557768</v>
      </c>
      <c r="K15" s="4">
        <f>[1]BS!K12/(SUM([1]IS!K8:K12)/365)</f>
        <v>242.17083135277588</v>
      </c>
    </row>
    <row r="16" spans="1:1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1" t="s">
        <v>23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</row>
    <row r="18" spans="1:11" x14ac:dyDescent="0.25">
      <c r="A18" s="8" t="s">
        <v>24</v>
      </c>
      <c r="B18" s="10">
        <f>[1]BS!B83</f>
        <v>1.3391843134897374</v>
      </c>
      <c r="C18" s="10">
        <f>[1]BS!C83</f>
        <v>1.4164287210128101</v>
      </c>
      <c r="D18" s="10">
        <f>[1]BS!D83</f>
        <v>1.236101194226273</v>
      </c>
      <c r="E18" s="10">
        <f>[1]BS!E83</f>
        <v>1.1819473319473319</v>
      </c>
      <c r="F18" s="10">
        <f>[1]BS!F83</f>
        <v>1.2291125920729569</v>
      </c>
      <c r="G18" s="10">
        <f>[1]BS!G83</f>
        <v>1.2669885093271338</v>
      </c>
      <c r="H18" s="10">
        <f>[1]BS!H83</f>
        <v>1.4173618567770712</v>
      </c>
      <c r="I18" s="10">
        <f>[1]BS!I83</f>
        <v>1.4923083987693437</v>
      </c>
      <c r="J18" s="10">
        <f>[1]BS!J83</f>
        <v>1.5685061104556686</v>
      </c>
      <c r="K18" s="10">
        <f>[1]BS!K83</f>
        <v>1.5663333552617151</v>
      </c>
    </row>
    <row r="19" spans="1:11" x14ac:dyDescent="0.25">
      <c r="A19" t="s">
        <v>25</v>
      </c>
      <c r="B19" s="3">
        <f>[1]BS!B84</f>
        <v>2.5501600613192662E-3</v>
      </c>
      <c r="C19" s="3">
        <f>[1]BS!C84</f>
        <v>2.2075818565247597E-3</v>
      </c>
      <c r="D19" s="3">
        <f>[1]BS!D84</f>
        <v>1.1620255645624204E-3</v>
      </c>
      <c r="E19" s="3">
        <f>[1]BS!E84</f>
        <v>8.2005082005082001E-4</v>
      </c>
      <c r="F19" s="3">
        <f>[1]BS!F84</f>
        <v>6.3135741844966677E-4</v>
      </c>
      <c r="G19" s="3">
        <f>[1]BS!G84</f>
        <v>4.8943814725414076E-4</v>
      </c>
      <c r="H19" s="3">
        <f>[1]BS!H84</f>
        <v>8.1487687170350098E-2</v>
      </c>
      <c r="I19" s="3">
        <f>[1]BS!I84</f>
        <v>7.4654451944712305E-2</v>
      </c>
      <c r="J19" s="3">
        <f>[1]BS!J84</f>
        <v>7.087683369320838E-2</v>
      </c>
      <c r="K19" s="3">
        <f>[1]BS!K84</f>
        <v>6.8010876477424737E-2</v>
      </c>
    </row>
    <row r="20" spans="1:11" x14ac:dyDescent="0.25">
      <c r="A20" s="5" t="s">
        <v>26</v>
      </c>
      <c r="B20" s="3">
        <f>[1]BS!B85</f>
        <v>1.904263689195915E-3</v>
      </c>
      <c r="C20" s="3">
        <f>[1]BS!C85</f>
        <v>1.5585548526199325E-3</v>
      </c>
      <c r="D20" s="3">
        <f>[1]BS!D85</f>
        <v>9.4007316714047869E-4</v>
      </c>
      <c r="E20" s="3">
        <f>[1]BS!E85</f>
        <v>6.9381333489685639E-4</v>
      </c>
      <c r="F20" s="3">
        <f>[1]BS!F85</f>
        <v>5.1366931111237947E-4</v>
      </c>
      <c r="G20" s="3">
        <f>[1]BS!G85</f>
        <v>3.863003836665174E-4</v>
      </c>
      <c r="H20" s="3">
        <f>[1]BS!H85</f>
        <v>5.7492507492507491E-2</v>
      </c>
      <c r="I20" s="3">
        <f>[1]BS!I85</f>
        <v>5.0026155455720353E-2</v>
      </c>
      <c r="J20" s="3">
        <f>[1]BS!J85</f>
        <v>4.5187476937923986E-2</v>
      </c>
      <c r="K20" s="3">
        <f>[1]BS!K85</f>
        <v>4.3420435534338053E-2</v>
      </c>
    </row>
    <row r="21" spans="1:11" x14ac:dyDescent="0.25">
      <c r="A21" t="s">
        <v>27</v>
      </c>
      <c r="B21" s="6">
        <f>[1]IS!B16/[1]IS!B17</f>
        <v>660.44600207684311</v>
      </c>
      <c r="C21" s="6">
        <f>[1]IS!C16/[1]IS!C17</f>
        <v>253.40896439197621</v>
      </c>
      <c r="D21" s="6">
        <f>[1]IS!D16/[1]IS!D17</f>
        <v>965.84848484848487</v>
      </c>
      <c r="E21" s="6">
        <f>[1]IS!E16/[1]IS!E17</f>
        <v>1079.53125</v>
      </c>
      <c r="F21" s="6">
        <f>[1]IS!F16/[1]IS!F17</f>
        <v>656.61538461538464</v>
      </c>
      <c r="G21" s="6">
        <f>[1]IS!G16/[1]IS!G17</f>
        <v>210.91414141414143</v>
      </c>
      <c r="H21" s="6">
        <f>[1]IS!H16/[1]IS!H17</f>
        <v>46.722943722943725</v>
      </c>
      <c r="I21" s="6">
        <f>[1]IS!I16/[1]IS!I17</f>
        <v>69.697017268445833</v>
      </c>
      <c r="J21" s="6">
        <f>[1]IS!J16/[1]IS!J17</f>
        <v>66.927295918367349</v>
      </c>
      <c r="K21" s="6">
        <f>[1]IS!K16/[1]IS!K17</f>
        <v>74.051347881899872</v>
      </c>
    </row>
    <row r="23" spans="1:11" x14ac:dyDescent="0.25">
      <c r="A23" s="1" t="s">
        <v>28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</row>
    <row r="24" spans="1:11" x14ac:dyDescent="0.25">
      <c r="A24" s="8" t="s">
        <v>29</v>
      </c>
      <c r="B24" s="8"/>
      <c r="C24" s="11">
        <f>[1]IS!C6/AVERAGE([1]BS!B22:C22)</f>
        <v>1.4037851711311489</v>
      </c>
      <c r="D24" s="11">
        <f>[1]IS!D6/AVERAGE([1]BS!C22:D22)</f>
        <v>1.3827207062580458</v>
      </c>
      <c r="E24" s="11">
        <f>[1]IS!E6/AVERAGE([1]BS!D22:E22)</f>
        <v>1.2819686922947793</v>
      </c>
      <c r="F24" s="11">
        <f>[1]IS!F6/AVERAGE([1]BS!E22:F22)</f>
        <v>1.2218896263840084</v>
      </c>
      <c r="G24" s="11">
        <f>[1]IS!G6/AVERAGE([1]BS!F22:G22)</f>
        <v>1.3767617690969607</v>
      </c>
      <c r="H24" s="11">
        <f>[1]IS!H6/AVERAGE([1]BS!G22:H22)</f>
        <v>1.3805684105272604</v>
      </c>
      <c r="I24" s="11">
        <f>[1]IS!I6/AVERAGE([1]BS!H22:I22)</f>
        <v>1.3378886258955989</v>
      </c>
      <c r="J24" s="11">
        <f>[1]IS!J6/AVERAGE([1]BS!I22:J22)</f>
        <v>1.4452597853209113</v>
      </c>
      <c r="K24" s="11">
        <f>[1]IS!K6/AVERAGE([1]BS!J22:K22)</f>
        <v>1.6132537889866554</v>
      </c>
    </row>
    <row r="25" spans="1:11" x14ac:dyDescent="0.25">
      <c r="A25" t="s">
        <v>30</v>
      </c>
      <c r="C25" s="7">
        <f>[1]IS!C6/AVERAGE([1]BS!B8:C8)</f>
        <v>5.0877834424751622</v>
      </c>
      <c r="D25" s="7">
        <f>[1]IS!D6/AVERAGE([1]BS!C8:D8)</f>
        <v>5.0203388200743451</v>
      </c>
      <c r="E25" s="7">
        <f>[1]IS!E6/AVERAGE([1]BS!D8:E8)</f>
        <v>5.233968729920754</v>
      </c>
      <c r="F25" s="7">
        <f>[1]IS!F6/AVERAGE([1]BS!E8:F8)</f>
        <v>5.3299411269974772</v>
      </c>
      <c r="G25" s="7">
        <f>[1]IS!G6/AVERAGE([1]BS!F8:G8)</f>
        <v>5.7669490715064358</v>
      </c>
      <c r="H25" s="7">
        <f>[1]IS!H6/AVERAGE([1]BS!G8:H8)</f>
        <v>5.582121013165624</v>
      </c>
      <c r="I25" s="7">
        <f>[1]IS!I6/AVERAGE([1]BS!H8:I8)</f>
        <v>5.5208130537361209</v>
      </c>
      <c r="J25" s="7">
        <f>[1]IS!J6/AVERAGE([1]BS!I8:J8)</f>
        <v>5.446507810652534</v>
      </c>
      <c r="K25" s="7">
        <f>[1]IS!K6/AVERAGE([1]BS!J8:K8)</f>
        <v>4.9890370951571423</v>
      </c>
    </row>
    <row r="26" spans="1:11" x14ac:dyDescent="0.25">
      <c r="A26" t="s">
        <v>31</v>
      </c>
      <c r="C26" s="7">
        <f>([1]IS!C8+[1]IS!C12)/AVERAGE([1]BS!B10:C10)</f>
        <v>1665.564578005115</v>
      </c>
      <c r="D26" s="7">
        <f>([1]IS!D8+[1]IS!D12)/AVERAGE([1]BS!C10:D10)</f>
        <v>438.54069223573435</v>
      </c>
      <c r="E26" s="7">
        <f>([1]IS!E8+[1]IS!E12)/AVERAGE([1]BS!D10:E10)</f>
        <v>413.08108108108109</v>
      </c>
      <c r="F26" s="7">
        <f>([1]IS!F8+[1]IS!F12)/AVERAGE([1]BS!E10:F10)</f>
        <v>314.21276595744683</v>
      </c>
      <c r="G26" s="7">
        <f>([1]IS!G8+[1]IS!G12)/AVERAGE([1]BS!F10:G10)</f>
        <v>462.44444444444446</v>
      </c>
      <c r="H26" s="7">
        <f>([1]IS!H8+[1]IS!H12)/AVERAGE([1]BS!G10:H10)</f>
        <v>1114.8</v>
      </c>
      <c r="I26" s="7">
        <f>([1]IS!I8+[1]IS!I12)/AVERAGE([1]BS!H10:I10)</f>
        <v>1340.4615384615386</v>
      </c>
      <c r="J26" s="7">
        <f>([1]IS!J8+[1]IS!J12)/AVERAGE([1]BS!I10:J10)</f>
        <v>568.28571428571433</v>
      </c>
      <c r="K26" s="7">
        <f>([1]IS!K8+[1]IS!K12)/AVERAGE([1]BS!J10:K10)</f>
        <v>406.83333333333331</v>
      </c>
    </row>
    <row r="27" spans="1:11" x14ac:dyDescent="0.25">
      <c r="A27" t="s">
        <v>32</v>
      </c>
      <c r="C27" s="7">
        <f>([1]IS!C8+[1]IS!C12)/AVERAGE([1]BS!B23:C23)</f>
        <v>3.4293863370522035</v>
      </c>
      <c r="D27" s="7">
        <f>([1]IS!D8+[1]IS!D12)/AVERAGE([1]BS!C23:D23)</f>
        <v>0.82533564471131449</v>
      </c>
      <c r="E27" s="7">
        <f>([1]IS!E8+[1]IS!E12)/AVERAGE([1]BS!D23:E23)</f>
        <v>1.1699326393141458</v>
      </c>
      <c r="F27" s="7">
        <f>([1]IS!F8+[1]IS!F12)/AVERAGE([1]BS!E23:F23)</f>
        <v>1.4000758437618506</v>
      </c>
      <c r="G27" s="7">
        <f>([1]IS!G8+[1]IS!G12)/AVERAGE([1]BS!F23:G23)</f>
        <v>1.3930215044766128</v>
      </c>
      <c r="H27" s="7">
        <f>([1]IS!H8+[1]IS!H12)/AVERAGE([1]BS!G23:H23)</f>
        <v>1.2084989520849896</v>
      </c>
      <c r="I27" s="7">
        <f>([1]IS!I8+[1]IS!I12)/AVERAGE([1]BS!H23:I23)</f>
        <v>1.1241855364170052</v>
      </c>
      <c r="J27" s="7">
        <f>([1]IS!J8+[1]IS!J12)/AVERAGE([1]BS!I23:J23)</f>
        <v>0.9318887262079063</v>
      </c>
      <c r="K27" s="7">
        <f>([1]IS!K8+[1]IS!K12)/AVERAGE([1]BS!J23:K23)</f>
        <v>0.97338251420596156</v>
      </c>
    </row>
    <row r="28" spans="1:11" x14ac:dyDescent="0.25">
      <c r="A28" t="s">
        <v>33</v>
      </c>
      <c r="C28" s="7">
        <f>365/C25</f>
        <v>71.740474830908028</v>
      </c>
      <c r="D28" s="7">
        <f t="shared" ref="D28:K28" si="0">365/D25</f>
        <v>72.704256242728022</v>
      </c>
      <c r="E28" s="7">
        <f t="shared" si="0"/>
        <v>69.7367559560346</v>
      </c>
      <c r="F28" s="7">
        <f t="shared" si="0"/>
        <v>68.481056601391757</v>
      </c>
      <c r="G28" s="7">
        <f t="shared" si="0"/>
        <v>63.291698170772143</v>
      </c>
      <c r="H28" s="7">
        <f t="shared" si="0"/>
        <v>65.387332008592253</v>
      </c>
      <c r="I28" s="7">
        <f t="shared" si="0"/>
        <v>66.113450400750693</v>
      </c>
      <c r="J28" s="7">
        <f t="shared" si="0"/>
        <v>67.015418445947319</v>
      </c>
      <c r="K28" s="7">
        <f t="shared" si="0"/>
        <v>73.160410122888337</v>
      </c>
    </row>
    <row r="29" spans="1:11" x14ac:dyDescent="0.25">
      <c r="A29" t="s">
        <v>34</v>
      </c>
      <c r="C29" s="7">
        <f t="shared" ref="C29:K30" si="1">365/C26</f>
        <v>0.21914491027250885</v>
      </c>
      <c r="D29" s="7">
        <f t="shared" si="1"/>
        <v>0.83230588737201361</v>
      </c>
      <c r="E29" s="7">
        <f t="shared" si="1"/>
        <v>0.883603768646951</v>
      </c>
      <c r="F29" s="7">
        <f t="shared" si="1"/>
        <v>1.1616332611050919</v>
      </c>
      <c r="G29" s="7">
        <f t="shared" si="1"/>
        <v>0.78928399807784722</v>
      </c>
      <c r="H29" s="7">
        <f t="shared" si="1"/>
        <v>0.3274129888769286</v>
      </c>
      <c r="I29" s="7">
        <f t="shared" si="1"/>
        <v>0.27229427292551356</v>
      </c>
      <c r="J29" s="7">
        <f t="shared" si="1"/>
        <v>0.64228255404725987</v>
      </c>
      <c r="K29" s="7">
        <f t="shared" si="1"/>
        <v>0.89717328963539533</v>
      </c>
    </row>
    <row r="30" spans="1:11" x14ac:dyDescent="0.25">
      <c r="A30" t="s">
        <v>35</v>
      </c>
      <c r="C30" s="7">
        <f t="shared" si="1"/>
        <v>106.43303615472584</v>
      </c>
      <c r="D30" s="7">
        <f t="shared" si="1"/>
        <v>442.24431882821386</v>
      </c>
      <c r="E30" s="7">
        <f t="shared" si="1"/>
        <v>311.98377388118291</v>
      </c>
      <c r="F30" s="7">
        <f t="shared" si="1"/>
        <v>260.70016251354281</v>
      </c>
      <c r="G30" s="7">
        <f t="shared" si="1"/>
        <v>262.02036280634314</v>
      </c>
      <c r="H30" s="7">
        <f t="shared" si="1"/>
        <v>302.02756847267074</v>
      </c>
      <c r="I30" s="7">
        <f t="shared" si="1"/>
        <v>324.67950189372203</v>
      </c>
      <c r="J30" s="7">
        <f t="shared" si="1"/>
        <v>391.67766465560584</v>
      </c>
      <c r="K30" s="7">
        <f t="shared" si="1"/>
        <v>374.98105284719378</v>
      </c>
    </row>
    <row r="31" spans="1:11" x14ac:dyDescent="0.25"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t="s">
        <v>36</v>
      </c>
      <c r="C32" s="6">
        <f>C28+C29</f>
        <v>71.959619741180532</v>
      </c>
      <c r="D32" s="6">
        <f t="shared" ref="D32:K32" si="2">D28+D29</f>
        <v>73.536562130100037</v>
      </c>
      <c r="E32" s="6">
        <f t="shared" si="2"/>
        <v>70.620359724681549</v>
      </c>
      <c r="F32" s="6">
        <f t="shared" si="2"/>
        <v>69.642689862496852</v>
      </c>
      <c r="G32" s="6">
        <f t="shared" si="2"/>
        <v>64.080982168849985</v>
      </c>
      <c r="H32" s="6">
        <f t="shared" si="2"/>
        <v>65.714744997469182</v>
      </c>
      <c r="I32" s="6">
        <f t="shared" si="2"/>
        <v>66.3857446736762</v>
      </c>
      <c r="J32" s="6">
        <f t="shared" si="2"/>
        <v>67.657700999994574</v>
      </c>
      <c r="K32" s="6">
        <f t="shared" si="2"/>
        <v>74.057583412523726</v>
      </c>
    </row>
    <row r="33" spans="1:11" x14ac:dyDescent="0.25">
      <c r="A33" s="8" t="s">
        <v>37</v>
      </c>
      <c r="B33" s="8"/>
      <c r="C33" s="12">
        <f>C28+C29-C30</f>
        <v>-34.473416413545309</v>
      </c>
      <c r="D33" s="12">
        <f t="shared" ref="D33:K33" si="3">D28+D29-D30</f>
        <v>-368.70775669811383</v>
      </c>
      <c r="E33" s="12">
        <f t="shared" si="3"/>
        <v>-241.36341415650136</v>
      </c>
      <c r="F33" s="12">
        <f t="shared" si="3"/>
        <v>-191.05747265104594</v>
      </c>
      <c r="G33" s="12">
        <f t="shared" si="3"/>
        <v>-197.93938063749317</v>
      </c>
      <c r="H33" s="12">
        <f t="shared" si="3"/>
        <v>-236.31282347520155</v>
      </c>
      <c r="I33" s="12">
        <f t="shared" si="3"/>
        <v>-258.29375722004585</v>
      </c>
      <c r="J33" s="12">
        <f t="shared" si="3"/>
        <v>-324.01996365561126</v>
      </c>
      <c r="K33" s="12">
        <f t="shared" si="3"/>
        <v>-300.92346943467004</v>
      </c>
    </row>
  </sheetData>
  <pageMargins left="0.7" right="0.7" top="0.75" bottom="0.75" header="0.3" footer="0.3"/>
  <ignoredErrors>
    <ignoredError sqref="C7:K9 B15:K15 C24:K3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23DC-0B14-47A2-94B2-64A55BC5FCA1}">
  <dimension ref="A2:K33"/>
  <sheetViews>
    <sheetView topLeftCell="A25" zoomScale="138" workbookViewId="0">
      <selection activeCell="B7" sqref="B7"/>
    </sheetView>
  </sheetViews>
  <sheetFormatPr defaultRowHeight="15" x14ac:dyDescent="0.25"/>
  <cols>
    <col min="1" max="1" width="25.5703125" customWidth="1"/>
    <col min="3" max="3" width="9" bestFit="1" customWidth="1"/>
    <col min="4" max="4" width="9.5703125" bestFit="1" customWidth="1"/>
    <col min="5" max="11" width="9" bestFit="1" customWidth="1"/>
  </cols>
  <sheetData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11</v>
      </c>
      <c r="B3" s="2">
        <f>[2]IS!B12/[2]IS!B6</f>
        <v>0.30407030702502036</v>
      </c>
      <c r="C3" s="2">
        <f>[2]IS!C12/[2]IS!C6</f>
        <v>0.32270172161623994</v>
      </c>
      <c r="D3" s="2">
        <f>[2]IS!D12/[2]IS!D6</f>
        <v>0.30809475145284543</v>
      </c>
      <c r="E3" s="2">
        <f>[2]IS!E12/[2]IS!E6</f>
        <v>0.30270920121900075</v>
      </c>
      <c r="F3" s="2">
        <f>[2]IS!F12/[2]IS!F6</f>
        <v>0.2997711050614224</v>
      </c>
      <c r="G3" s="2">
        <f>[2]IS!G12/[2]IS!G6</f>
        <v>0.26943441214628844</v>
      </c>
      <c r="H3" s="2">
        <f>[2]IS!H12/[2]IS!H6</f>
        <v>0.2678590507938543</v>
      </c>
      <c r="I3" s="2">
        <f>[2]IS!I12/[2]IS!I6</f>
        <v>0.29306633681688465</v>
      </c>
      <c r="J3" s="2">
        <f>[2]IS!J12/[2]IS!J6</f>
        <v>0.27260844306738963</v>
      </c>
      <c r="K3" s="2">
        <f>[2]IS!K12/[2]IS!K6</f>
        <v>0.25310434340460836</v>
      </c>
    </row>
    <row r="4" spans="1:11" x14ac:dyDescent="0.25">
      <c r="A4" t="s">
        <v>12</v>
      </c>
      <c r="B4" s="2">
        <f>[2]IS!B14/[2]IS!B6</f>
        <v>0.27912570790007007</v>
      </c>
      <c r="C4" s="2">
        <f>[2]IS!C14/[2]IS!C6</f>
        <v>0.30478070098151511</v>
      </c>
      <c r="D4" s="2">
        <f>[2]IS!D14/[2]IS!D6</f>
        <v>0.28584066746998976</v>
      </c>
      <c r="E4" s="2">
        <f>[2]IS!E14/[2]IS!E6</f>
        <v>0.27890234014594456</v>
      </c>
      <c r="F4" s="2">
        <f>[2]IS!F14/[2]IS!F6</f>
        <v>0.27453848550106319</v>
      </c>
      <c r="G4" s="2">
        <f>[2]IS!G14/[2]IS!G6</f>
        <v>0.24592961417534509</v>
      </c>
      <c r="H4" s="2">
        <f>[2]IS!H14/[2]IS!H6</f>
        <v>0.23694894971899907</v>
      </c>
      <c r="I4" s="2">
        <f>[2]IS!I14/[2]IS!I6</f>
        <v>0.26124687113457284</v>
      </c>
      <c r="J4" s="2">
        <f>[2]IS!J14/[2]IS!J6</f>
        <v>0.24456170926930029</v>
      </c>
      <c r="K4" s="2">
        <f>[2]IS!K14/[2]IS!K6</f>
        <v>0.22483742339497417</v>
      </c>
    </row>
    <row r="5" spans="1:11" x14ac:dyDescent="0.25">
      <c r="A5" t="s">
        <v>13</v>
      </c>
      <c r="B5" s="2">
        <f>[2]IS!B16/[2]IS!B6</f>
        <v>0.27895524366914787</v>
      </c>
      <c r="C5" s="2">
        <f>[2]IS!C16/[2]IS!C6</f>
        <v>0.30456924351089887</v>
      </c>
      <c r="D5" s="2">
        <f>[2]IS!D16/[2]IS!D6</f>
        <v>0.28584066746998976</v>
      </c>
      <c r="E5" s="2">
        <f>[2]IS!E16/[2]IS!E6</f>
        <v>0.27890234014594456</v>
      </c>
      <c r="F5" s="2">
        <f>[2]IS!F16/[2]IS!F6</f>
        <v>0.27453848550106319</v>
      </c>
      <c r="G5" s="2">
        <f>[2]IS!G16/[2]IS!G6</f>
        <v>0.24592961417534509</v>
      </c>
      <c r="H5" s="2">
        <f>[2]IS!H16/[2]IS!H6</f>
        <v>0.23513259396969891</v>
      </c>
      <c r="I5" s="2">
        <f>[2]IS!I16/[2]IS!I6</f>
        <v>0.25934763764572966</v>
      </c>
      <c r="J5" s="2">
        <f>[2]IS!J16/[2]IS!J6</f>
        <v>0.24294797314743094</v>
      </c>
      <c r="K5" s="2">
        <f>[2]IS!K16/[2]IS!K6</f>
        <v>0.22293735113870528</v>
      </c>
    </row>
    <row r="6" spans="1:11" x14ac:dyDescent="0.25">
      <c r="A6" t="s">
        <v>14</v>
      </c>
      <c r="B6" s="2">
        <f>[2]IS!B18/[2]IS!B6</f>
        <v>0.2018296494118984</v>
      </c>
      <c r="C6" s="2">
        <f>[2]IS!C18/[2]IS!C6</f>
        <v>0.2180126522053252</v>
      </c>
      <c r="D6" s="2">
        <f>[2]IS!D18/[2]IS!D6</f>
        <v>0.2057473192904318</v>
      </c>
      <c r="E6" s="2">
        <f>[2]IS!E18/[2]IS!E6</f>
        <v>0.20064584673022617</v>
      </c>
      <c r="F6" s="2">
        <f>[2]IS!F18/[2]IS!F6</f>
        <v>0.2170980455893706</v>
      </c>
      <c r="G6" s="2">
        <f>[2]IS!G18/[2]IS!G6</f>
        <v>0.18004371354769336</v>
      </c>
      <c r="H6" s="2">
        <f>[2]IS!H18/[2]IS!H6</f>
        <v>0.17729769002286472</v>
      </c>
      <c r="I6" s="2">
        <f>[2]IS!I18/[2]IS!I6</f>
        <v>0.18847213970566751</v>
      </c>
      <c r="J6" s="2">
        <f>[2]IS!J18/[2]IS!J6</f>
        <v>0.17839852827265684</v>
      </c>
      <c r="K6" s="2">
        <f>[2]IS!K18/[2]IS!K6</f>
        <v>0.16120507399577166</v>
      </c>
    </row>
    <row r="7" spans="1:11" x14ac:dyDescent="0.25">
      <c r="A7" t="s">
        <v>15</v>
      </c>
      <c r="B7" s="2"/>
      <c r="C7" s="2">
        <f>[2]IS!C18/AVERAGE([2]BS!B18:C18)</f>
        <v>0.20075453328465376</v>
      </c>
      <c r="D7" s="2">
        <f>[2]IS!D18/AVERAGE([2]BS!C18:D18)</f>
        <v>0.19080962181813038</v>
      </c>
      <c r="E7" s="2">
        <f>[2]IS!E18/AVERAGE([2]BS!D18:E18)</f>
        <v>0.18140110966469927</v>
      </c>
      <c r="F7" s="2">
        <f>[2]IS!F18/AVERAGE([2]BS!E18:F18)</f>
        <v>0.19728364215954755</v>
      </c>
      <c r="G7" s="2">
        <f>[2]IS!G18/AVERAGE([2]BS!F18:G18)</f>
        <v>0.18852614509071994</v>
      </c>
      <c r="H7" s="2">
        <f>[2]IS!H18/AVERAGE([2]BS!G18:H18)</f>
        <v>0.18871186016626296</v>
      </c>
      <c r="I7" s="2">
        <f>[2]IS!I18/AVERAGE([2]BS!H18:I18)</f>
        <v>0.1941789464705912</v>
      </c>
      <c r="J7" s="2">
        <f>[2]IS!J18/AVERAGE([2]BS!I18:J18)</f>
        <v>0.19719942918301819</v>
      </c>
      <c r="K7" s="2">
        <f>[2]IS!K18/AVERAGE([2]BS!J18:K18)</f>
        <v>0.19968921578783796</v>
      </c>
    </row>
    <row r="8" spans="1:11" x14ac:dyDescent="0.25">
      <c r="A8" t="s">
        <v>16</v>
      </c>
      <c r="C8" s="2">
        <f>[2]IS!C18/AVERAGE([2]BS!B33:C33)</f>
        <v>0.25973589738206704</v>
      </c>
      <c r="D8" s="2">
        <f>[2]IS!D18/AVERAGE([2]BS!C33:D33)</f>
        <v>0.2398470839260313</v>
      </c>
      <c r="E8" s="2">
        <f>[2]IS!E18/AVERAGE([2]BS!D33:E33)</f>
        <v>0.21958906414944235</v>
      </c>
      <c r="F8" s="2">
        <f>[2]IS!F18/AVERAGE([2]BS!E33:F33)</f>
        <v>0.23940674801726583</v>
      </c>
      <c r="G8" s="2">
        <f>[2]IS!G18/AVERAGE([2]BS!F33:G33)</f>
        <v>0.23711229123374125</v>
      </c>
      <c r="H8" s="2">
        <f>[2]IS!H18/AVERAGE([2]BS!G33:H33)</f>
        <v>0.25363393198318684</v>
      </c>
      <c r="I8" s="2">
        <f>[2]IS!I18/AVERAGE([2]BS!H33:I33)</f>
        <v>0.27135304923366005</v>
      </c>
      <c r="J8" s="2">
        <f>[2]IS!J18/AVERAGE([2]BS!I33:J33)</f>
        <v>0.28993299151575552</v>
      </c>
      <c r="K8" s="2">
        <f>[2]IS!K18/AVERAGE([2]BS!J33:K33)</f>
        <v>0.31802073503111572</v>
      </c>
    </row>
    <row r="9" spans="1:11" x14ac:dyDescent="0.25">
      <c r="A9" t="s">
        <v>17</v>
      </c>
      <c r="C9" s="2">
        <f>[2]IS!B14/(AVERAGE([2]BS!B33:C33)+AVERAGE([2]BS!B23:C23))</f>
        <v>0.30938634979950874</v>
      </c>
      <c r="D9" s="2">
        <f>[2]IS!C14/(AVERAGE([2]BS!C33:D33)+AVERAGE([2]BS!C23:D23))</f>
        <v>0.30753911806543388</v>
      </c>
      <c r="E9" s="2">
        <f>[2]IS!D14/(AVERAGE([2]BS!D33:E33)+AVERAGE([2]BS!D23:E23))</f>
        <v>0.28670654651714272</v>
      </c>
      <c r="F9" s="2">
        <f>[2]IS!E14/(AVERAGE([2]BS!E33:F33)+AVERAGE([2]BS!E23:F23))</f>
        <v>0.29798515376458112</v>
      </c>
      <c r="G9" s="2">
        <f>[2]IS!F14/(AVERAGE([2]BS!F33:G33)+AVERAGE([2]BS!F23:G23))</f>
        <v>0.31201416147156164</v>
      </c>
      <c r="H9" s="2">
        <f>[2]IS!G14/(AVERAGE([2]BS!G33:H33)+AVERAGE([2]BS!G23:H23))</f>
        <v>0.31203286273579312</v>
      </c>
      <c r="I9" s="2">
        <f>[2]IS!H14/(AVERAGE([2]BS!H33:I33)+AVERAGE([2]BS!H23:I23))</f>
        <v>0.29329418688461717</v>
      </c>
      <c r="J9" s="2">
        <f>[2]IS!I14/(AVERAGE([2]BS!I33:J33)+AVERAGE([2]BS!I23:J23))</f>
        <v>0.33174816179880895</v>
      </c>
      <c r="K9" s="2">
        <f>[2]IS!J14/(AVERAGE([2]BS!J33:K33)+AVERAGE([2]BS!J23:K23))</f>
        <v>0.37146884000245112</v>
      </c>
    </row>
    <row r="10" spans="1:11" x14ac:dyDescent="0.25"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1" t="s">
        <v>18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x14ac:dyDescent="0.25">
      <c r="A12" t="s">
        <v>19</v>
      </c>
      <c r="B12" s="3">
        <f>[2]BS!B10/[2]BS!B22</f>
        <v>3.5805834926440028</v>
      </c>
      <c r="C12" s="3">
        <f>[2]BS!C10/[2]BS!C22</f>
        <v>3.0472811713861834</v>
      </c>
      <c r="D12" s="3">
        <f>[2]BS!D10/[2]BS!D22</f>
        <v>3.9091321096759573</v>
      </c>
      <c r="E12" s="3">
        <f>[2]BS!E10/[2]BS!E22</f>
        <v>3.8325126668093912</v>
      </c>
      <c r="F12" s="3">
        <f>[2]BS!F10/[2]BS!F22</f>
        <v>3.5460475008862105</v>
      </c>
      <c r="G12" s="3">
        <f>[2]BS!G10/[2]BS!G22</f>
        <v>2.8371069857280826</v>
      </c>
      <c r="H12" s="3">
        <f>[2]BS!H10/[2]BS!H22</f>
        <v>2.6168009205983891</v>
      </c>
      <c r="I12" s="3">
        <f>[2]BS!I10/[2]BS!I22</f>
        <v>2.5448564843913681</v>
      </c>
      <c r="J12" s="3">
        <f>[2]BS!J10/[2]BS!J22</f>
        <v>1.9993750557985894</v>
      </c>
      <c r="K12" s="3">
        <f>[2]BS!K10/[2]BS!K22</f>
        <v>1.8088347879344664</v>
      </c>
    </row>
    <row r="13" spans="1:11" x14ac:dyDescent="0.25">
      <c r="A13" t="s">
        <v>20</v>
      </c>
      <c r="B13" s="3">
        <f>([2]BS!B6+[2]BS!B7)/[2]BS!B22</f>
        <v>3.1024021278364224</v>
      </c>
      <c r="C13" s="3">
        <f>([2]BS!C6+[2]BS!C7)/[2]BS!C22</f>
        <v>2.6415532477584982</v>
      </c>
      <c r="D13" s="3">
        <f>([2]BS!D6+[2]BS!D7)/[2]BS!D22</f>
        <v>3.3312183699675204</v>
      </c>
      <c r="E13" s="3">
        <f>([2]BS!E6+[2]BS!E7)/[2]BS!E22</f>
        <v>3.2053807179048026</v>
      </c>
      <c r="F13" s="3">
        <f>([2]BS!F6+[2]BS!F7)/[2]BS!F22</f>
        <v>2.79099610067352</v>
      </c>
      <c r="G13" s="3">
        <f>([2]BS!G6+[2]BS!G7)/[2]BS!G22</f>
        <v>2.2009872303895266</v>
      </c>
      <c r="H13" s="3">
        <f>([2]BS!H6+[2]BS!H7)/[2]BS!H22</f>
        <v>2.0037878787878789</v>
      </c>
      <c r="I13" s="3">
        <f>([2]BS!I6+[2]BS!I7)/[2]BS!I22</f>
        <v>1.9421747328724073</v>
      </c>
      <c r="J13" s="3">
        <f>([2]BS!J6+[2]BS!J7)/[2]BS!J22</f>
        <v>1.3940124393655329</v>
      </c>
      <c r="K13" s="3">
        <f>([2]BS!K6+[2]BS!K7)/[2]BS!K22</f>
        <v>1.1357627724187209</v>
      </c>
    </row>
    <row r="14" spans="1:11" x14ac:dyDescent="0.25">
      <c r="A14" t="s">
        <v>21</v>
      </c>
      <c r="B14" s="3">
        <f>[2]BS!B6/[2]BS!B22</f>
        <v>2.4082786135815808</v>
      </c>
      <c r="C14" s="3">
        <f>[2]BS!C6/[2]BS!C22</f>
        <v>2.0150293491582274</v>
      </c>
      <c r="D14" s="3">
        <f>[2]BS!D6/[2]BS!D22</f>
        <v>2.4754135508724224</v>
      </c>
      <c r="E14" s="3">
        <f>[2]BS!E6/[2]BS!E22</f>
        <v>2.3260543780774996</v>
      </c>
      <c r="F14" s="3">
        <f>[2]BS!F6/[2]BS!F22</f>
        <v>1.859269762495569</v>
      </c>
      <c r="G14" s="3">
        <f>[2]BS!G6/[2]BS!G22</f>
        <v>1.405461959437708</v>
      </c>
      <c r="H14" s="3">
        <f>[2]BS!H6/[2]BS!H22</f>
        <v>1.1173762945914845</v>
      </c>
      <c r="I14" s="3">
        <f>[2]BS!I6/[2]BS!I22</f>
        <v>1.1337104546406871</v>
      </c>
      <c r="J14" s="3">
        <f>[2]BS!J6/[2]BS!J22</f>
        <v>0.71853703538374547</v>
      </c>
      <c r="K14" s="3">
        <f>[2]BS!K6/[2]BS!K22</f>
        <v>0.48695962843872814</v>
      </c>
    </row>
    <row r="15" spans="1:11" x14ac:dyDescent="0.25">
      <c r="A15" t="s">
        <v>22</v>
      </c>
      <c r="B15" s="4">
        <f>[2]BS!B10/(SUM([2]IS!B7:B11)/365)</f>
        <v>427.93103448275861</v>
      </c>
      <c r="C15" s="4">
        <f>[2]BS!C10/(SUM([2]IS!C7:C11)/365)</f>
        <v>448.62446664585286</v>
      </c>
      <c r="D15" s="4">
        <f>[2]BS!D10/(SUM([2]IS!D7:D11)/365)</f>
        <v>416.42443013976458</v>
      </c>
      <c r="E15" s="4">
        <f>[2]BS!E10/(SUM([2]IS!E7:E11)/365)</f>
        <v>392.98967522052925</v>
      </c>
      <c r="F15" s="4">
        <f>[2]BS!F10/(SUM([2]IS!F7:F11)/365)</f>
        <v>353.11808510638298</v>
      </c>
      <c r="G15" s="4">
        <f>[2]BS!G10/(SUM([2]IS!G7:G11)/365)</f>
        <v>308.78281737461003</v>
      </c>
      <c r="H15" s="4">
        <f>[2]BS!H10/(SUM([2]IS!H7:H11)/365)</f>
        <v>290.70457066137413</v>
      </c>
      <c r="I15" s="4">
        <f>[2]BS!I10/(SUM([2]IS!I7:I11)/365)</f>
        <v>305.40960004408748</v>
      </c>
      <c r="J15" s="4">
        <f>[2]BS!J10/(SUM([2]IS!J7:J11)/365)</f>
        <v>272.01913477537437</v>
      </c>
      <c r="K15" s="4">
        <f>[2]BS!K10/(SUM([2]IS!K7:K11)/365)</f>
        <v>231.74722538226573</v>
      </c>
    </row>
    <row r="16" spans="1:1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1" t="s">
        <v>23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</row>
    <row r="18" spans="1:11" x14ac:dyDescent="0.25">
      <c r="A18" t="s">
        <v>24</v>
      </c>
      <c r="B18" s="3">
        <f>[2]BS!B18/[2]BS!B33</f>
        <v>1.2792724006287897</v>
      </c>
      <c r="C18" s="3">
        <f>[2]BS!C18/[2]BS!C33</f>
        <v>1.3065476190476191</v>
      </c>
      <c r="D18" s="3">
        <f>[2]BS!D18/[2]BS!D33</f>
        <v>1.2162801243845556</v>
      </c>
      <c r="E18" s="3">
        <f>[2]BS!E18/[2]BS!E33</f>
        <v>1.2053579194572497</v>
      </c>
      <c r="F18" s="3">
        <f>[2]BS!F18/[2]BS!F33</f>
        <v>1.2221828599593372</v>
      </c>
      <c r="G18" s="3">
        <f>[2]BS!G18/[2]BS!G33</f>
        <v>1.2932037042734517</v>
      </c>
      <c r="H18" s="3">
        <f>[2]BS!H18/[2]BS!H33</f>
        <v>1.3942044833242209</v>
      </c>
      <c r="I18" s="3">
        <f>[2]BS!I18/[2]BS!I33</f>
        <v>1.4002109869500665</v>
      </c>
      <c r="J18" s="3">
        <f>[2]BS!J18/[2]BS!J33</f>
        <v>1.5412617513467837</v>
      </c>
      <c r="K18" s="3">
        <f>[2]BS!K18/[2]BS!K33</f>
        <v>1.6438551355630318</v>
      </c>
    </row>
    <row r="19" spans="1:11" x14ac:dyDescent="0.25">
      <c r="A19" t="s">
        <v>25</v>
      </c>
      <c r="B19" s="3">
        <f>[2]BS!B23/[2]BS!B33</f>
        <v>0</v>
      </c>
      <c r="C19" s="3">
        <f>[2]BS!C23/[2]BS!C33</f>
        <v>0</v>
      </c>
      <c r="D19" s="3">
        <f>[2]BS!D23/[2]BS!D33</f>
        <v>0</v>
      </c>
      <c r="E19" s="3">
        <f>[2]BS!E23/[2]BS!E33</f>
        <v>0</v>
      </c>
      <c r="F19" s="3">
        <f>[2]BS!F23/[2]BS!F33</f>
        <v>0</v>
      </c>
      <c r="G19" s="3">
        <f>[2]BS!G23/[2]BS!G33</f>
        <v>0</v>
      </c>
      <c r="H19" s="3">
        <f>[2]BS!H23/[2]BS!H33</f>
        <v>6.0962274466921818E-2</v>
      </c>
      <c r="I19" s="3">
        <f>[2]BS!I23/[2]BS!I33</f>
        <v>5.9740564194733142E-2</v>
      </c>
      <c r="J19" s="3">
        <f>[2]BS!J23/[2]BS!J33</f>
        <v>6.0763705503327346E-2</v>
      </c>
      <c r="K19" s="3">
        <f>[2]BS!K23/[2]BS!K33</f>
        <v>9.3106405435714759E-2</v>
      </c>
    </row>
    <row r="20" spans="1:11" x14ac:dyDescent="0.25">
      <c r="A20" s="5" t="s">
        <v>26</v>
      </c>
      <c r="B20" s="3">
        <f>[2]BS!B23/[2]BS!B18</f>
        <v>0</v>
      </c>
      <c r="C20" s="3">
        <f>[2]BS!C23/[2]BS!C18</f>
        <v>0</v>
      </c>
      <c r="D20" s="3">
        <f>[2]BS!D23/[2]BS!D18</f>
        <v>0</v>
      </c>
      <c r="E20" s="3">
        <f>[2]BS!E23/[2]BS!E18</f>
        <v>0</v>
      </c>
      <c r="F20" s="3">
        <f>[2]BS!F23/[2]BS!F18</f>
        <v>0</v>
      </c>
      <c r="G20" s="3">
        <f>[2]BS!G23/[2]BS!G18</f>
        <v>0</v>
      </c>
      <c r="H20" s="3">
        <f>[2]BS!H23/[2]BS!H18</f>
        <v>4.372549019607843E-2</v>
      </c>
      <c r="I20" s="3">
        <f>[2]BS!I23/[2]BS!I18</f>
        <v>4.2665401679828109E-2</v>
      </c>
      <c r="J20" s="3">
        <f>[2]BS!J23/[2]BS!J18</f>
        <v>3.9424650258290568E-2</v>
      </c>
      <c r="K20" s="3">
        <f>[2]BS!K23/[2]BS!K18</f>
        <v>5.6639057433625475E-2</v>
      </c>
    </row>
    <row r="21" spans="1:11" x14ac:dyDescent="0.25">
      <c r="A21" t="s">
        <v>27</v>
      </c>
      <c r="B21" s="6">
        <f>IFERROR([2]IS!B14/[2]IS!B15,"NA")</f>
        <v>1637.4444444444443</v>
      </c>
      <c r="C21" s="6">
        <f>IFERROR([2]IS!C14/[2]IS!C15,"NA")</f>
        <v>1441.3333333333333</v>
      </c>
      <c r="D21" s="6" t="str">
        <f>IFERROR([2]IS!D14/[2]IS!D15,"NA")</f>
        <v>NA</v>
      </c>
      <c r="E21" s="6" t="str">
        <f>IFERROR([2]IS!E14/[2]IS!E15,"NA")</f>
        <v>NA</v>
      </c>
      <c r="F21" s="6" t="str">
        <f>IFERROR([2]IS!F14/[2]IS!F15,"NA")</f>
        <v>NA</v>
      </c>
      <c r="G21" s="6" t="str">
        <f>IFERROR([2]IS!G14/[2]IS!G15,"NA")</f>
        <v>NA</v>
      </c>
      <c r="H21" s="6">
        <f>IFERROR([2]IS!H14/[2]IS!H15,"NA")</f>
        <v>130.45294117647057</v>
      </c>
      <c r="I21" s="6">
        <f>IFERROR([2]IS!I14/[2]IS!I15,"NA")</f>
        <v>137.55384615384617</v>
      </c>
      <c r="J21" s="6">
        <f>IFERROR([2]IS!J14/[2]IS!J15,"NA")</f>
        <v>151.55000000000001</v>
      </c>
      <c r="K21" s="6">
        <f>IFERROR([2]IS!K14/[2]IS!K15,"NA")</f>
        <v>118.33098591549296</v>
      </c>
    </row>
    <row r="23" spans="1:11" x14ac:dyDescent="0.25">
      <c r="A23" s="1" t="s">
        <v>28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</row>
    <row r="24" spans="1:11" x14ac:dyDescent="0.25">
      <c r="A24" t="s">
        <v>29</v>
      </c>
      <c r="C24" s="7">
        <f>[2]IS!C6/AVERAGE([2]BS!B18:C18)</f>
        <v>0.92083891120035699</v>
      </c>
      <c r="D24" s="7">
        <f>[2]IS!D6/AVERAGE([2]BS!C18:D18)</f>
        <v>0.92739785128760066</v>
      </c>
      <c r="E24" s="7">
        <f>[2]IS!E6/AVERAGE([2]BS!D18:E18)</f>
        <v>0.90408604324911845</v>
      </c>
      <c r="F24" s="7">
        <f>[2]IS!F6/AVERAGE([2]BS!E18:F18)</f>
        <v>0.9087306227191887</v>
      </c>
      <c r="G24" s="7">
        <f>[2]IS!G6/AVERAGE([2]BS!F18:G18)</f>
        <v>1.0471131781048251</v>
      </c>
      <c r="H24" s="7">
        <f>[2]IS!H6/AVERAGE([2]BS!G18:H18)</f>
        <v>1.064378560949814</v>
      </c>
      <c r="I24" s="7">
        <f>[2]IS!I6/AVERAGE([2]BS!H18:I18)</f>
        <v>1.0302793122306346</v>
      </c>
      <c r="J24" s="7">
        <f>[2]IS!J6/AVERAGE([2]BS!I18:J18)</f>
        <v>1.1053870852657866</v>
      </c>
      <c r="K24" s="7">
        <f>[2]IS!K6/AVERAGE([2]BS!J18:K18)</f>
        <v>1.2387278566248834</v>
      </c>
    </row>
    <row r="25" spans="1:11" x14ac:dyDescent="0.25">
      <c r="A25" t="s">
        <v>30</v>
      </c>
      <c r="C25" s="7">
        <f>[2]IS!C6/AVERAGE([2]BS!B7:C7)</f>
        <v>6.283104517271922</v>
      </c>
      <c r="D25" s="7">
        <f>[2]IS!D6/AVERAGE([2]BS!C7:D7)</f>
        <v>6.23114574918025</v>
      </c>
      <c r="E25" s="7">
        <f>[2]IS!E6/AVERAGE([2]BS!D7:E7)</f>
        <v>6.0488753593776421</v>
      </c>
      <c r="F25" s="7">
        <f>[2]IS!F6/AVERAGE([2]BS!E7:F7)</f>
        <v>5.7990103675777567</v>
      </c>
      <c r="G25" s="7">
        <f>[2]IS!G6/AVERAGE([2]BS!F7:G7)</f>
        <v>6.1179877721763383</v>
      </c>
      <c r="H25" s="7">
        <f>[2]IS!H6/AVERAGE([2]BS!G7:H7)</f>
        <v>5.618898961397611</v>
      </c>
      <c r="I25" s="7">
        <f>[2]IS!I6/AVERAGE([2]BS!H7:I7)</f>
        <v>5.4351658240914746</v>
      </c>
      <c r="J25" s="7">
        <f>[2]IS!J6/AVERAGE([2]BS!I7:J7)</f>
        <v>5.9028386359306531</v>
      </c>
      <c r="K25" s="7">
        <f>[2]IS!K6/AVERAGE([2]BS!J7:K7)</f>
        <v>6.2120443871825772</v>
      </c>
    </row>
    <row r="26" spans="1:11" x14ac:dyDescent="0.25">
      <c r="A26" t="s">
        <v>31</v>
      </c>
      <c r="C26" s="7" t="str">
        <f>IFERROR(([2]IS!C7+[2]IS!C11)/AVERAGE([2]BS!B8:C8),"NA")</f>
        <v>NA</v>
      </c>
      <c r="D26" s="7" t="str">
        <f>IFERROR(([2]IS!D7+[2]IS!D11)/AVERAGE([2]BS!C8:D8),"NA")</f>
        <v>NA</v>
      </c>
      <c r="E26" s="7" t="str">
        <f>IFERROR(([2]IS!E7+[2]IS!E11)/AVERAGE([2]BS!D8:E8),"NA")</f>
        <v>NA</v>
      </c>
      <c r="F26" s="7" t="str">
        <f>IFERROR(([2]IS!F7+[2]IS!F11)/AVERAGE([2]BS!E8:F8),"NA")</f>
        <v>NA</v>
      </c>
      <c r="G26" s="7" t="str">
        <f>IFERROR(([2]IS!G7+[2]IS!G11)/AVERAGE([2]BS!F8:G8),"NA")</f>
        <v>NA</v>
      </c>
      <c r="H26" s="7" t="str">
        <f>IFERROR(([2]IS!H7+[2]IS!H11)/AVERAGE([2]BS!G8:H8),"NA")</f>
        <v>NA</v>
      </c>
      <c r="I26" s="7" t="str">
        <f>IFERROR(([2]IS!I7+[2]IS!I11)/AVERAGE([2]BS!H8:I8),"NA")</f>
        <v>NA</v>
      </c>
      <c r="J26" s="7" t="str">
        <f>IFERROR(([2]IS!J7+[2]IS!J11)/AVERAGE([2]BS!I8:J8),"NA")</f>
        <v>NA</v>
      </c>
      <c r="K26" s="7" t="str">
        <f>IFERROR(([2]IS!K7+[2]IS!K11)/AVERAGE([2]BS!J8:K8),"NA")</f>
        <v>NA</v>
      </c>
    </row>
    <row r="27" spans="1:11" x14ac:dyDescent="0.25">
      <c r="A27" t="s">
        <v>32</v>
      </c>
      <c r="C27" s="7">
        <f>([2]IS!C7+[2]IS!C11)/AVERAGE([2]BS!B19:C19)</f>
        <v>32.08306709265176</v>
      </c>
      <c r="D27" s="7">
        <f>([2]IS!D7+[2]IS!D11)/AVERAGE([2]BS!C19:D19)</f>
        <v>20.721581548599669</v>
      </c>
      <c r="E27" s="7">
        <f>([2]IS!E7+[2]IS!E11)/AVERAGE([2]BS!D19:E19)</f>
        <v>16.777777777777779</v>
      </c>
      <c r="F27" s="7">
        <f>([2]IS!F7+[2]IS!F11)/AVERAGE([2]BS!E19:F19)</f>
        <v>12.667721518987342</v>
      </c>
      <c r="G27" s="7">
        <f>([2]IS!G7+[2]IS!G11)/AVERAGE([2]BS!F19:G19)</f>
        <v>7.1748427672955977</v>
      </c>
      <c r="H27" s="7">
        <f>([2]IS!H7+[2]IS!H11)/AVERAGE([2]BS!G19:H19)</f>
        <v>4.4023430349624748</v>
      </c>
      <c r="I27" s="7">
        <f>([2]IS!I7+[2]IS!I11)/AVERAGE([2]BS!H19:I19)</f>
        <v>4.4564085881587507</v>
      </c>
      <c r="J27" s="7">
        <f>([2]IS!J7+[2]IS!J11)/AVERAGE([2]BS!I19:J19)</f>
        <v>5.729059490832344</v>
      </c>
      <c r="K27" s="7">
        <f>([2]IS!K7+[2]IS!K11)/AVERAGE([2]BS!J19:K19)</f>
        <v>6.1043497363796133</v>
      </c>
    </row>
    <row r="28" spans="1:11" x14ac:dyDescent="0.25">
      <c r="A28" t="s">
        <v>33</v>
      </c>
      <c r="C28" s="7">
        <f>365/C25</f>
        <v>58.092301185923979</v>
      </c>
      <c r="D28" s="7">
        <f t="shared" ref="D28:K28" si="0">365/D25</f>
        <v>58.576707188725003</v>
      </c>
      <c r="E28" s="7">
        <f t="shared" si="0"/>
        <v>60.341795509827499</v>
      </c>
      <c r="F28" s="7">
        <f t="shared" si="0"/>
        <v>62.941774003494373</v>
      </c>
      <c r="G28" s="7">
        <f t="shared" si="0"/>
        <v>59.660138854798554</v>
      </c>
      <c r="H28" s="7">
        <f t="shared" si="0"/>
        <v>64.959345684552417</v>
      </c>
      <c r="I28" s="7">
        <f t="shared" si="0"/>
        <v>67.15526477262766</v>
      </c>
      <c r="J28" s="7">
        <f t="shared" si="0"/>
        <v>61.834656596953273</v>
      </c>
      <c r="K28" s="7">
        <f t="shared" si="0"/>
        <v>58.756824203173927</v>
      </c>
    </row>
    <row r="29" spans="1:11" x14ac:dyDescent="0.25">
      <c r="A29" t="s">
        <v>34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</row>
    <row r="30" spans="1:11" x14ac:dyDescent="0.25">
      <c r="A30" t="s">
        <v>35</v>
      </c>
      <c r="C30" s="7">
        <f t="shared" ref="C30:K30" si="1">365/C27</f>
        <v>11.376717785301732</v>
      </c>
      <c r="D30" s="7">
        <f t="shared" si="1"/>
        <v>17.61448560979488</v>
      </c>
      <c r="E30" s="7">
        <f t="shared" si="1"/>
        <v>21.754966887417218</v>
      </c>
      <c r="F30" s="7">
        <f t="shared" si="1"/>
        <v>28.81338995753185</v>
      </c>
      <c r="G30" s="7">
        <f t="shared" si="1"/>
        <v>50.872194950911641</v>
      </c>
      <c r="H30" s="7">
        <f t="shared" si="1"/>
        <v>82.910395010395007</v>
      </c>
      <c r="I30" s="7">
        <f t="shared" si="1"/>
        <v>81.904518577998402</v>
      </c>
      <c r="J30" s="7">
        <f t="shared" si="1"/>
        <v>63.710282740836249</v>
      </c>
      <c r="K30" s="7">
        <f t="shared" si="1"/>
        <v>59.79342858171087</v>
      </c>
    </row>
    <row r="31" spans="1:11" x14ac:dyDescent="0.25"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25">
      <c r="A32" t="s">
        <v>36</v>
      </c>
      <c r="C32" s="7">
        <f>C28+C29</f>
        <v>58.092301185923979</v>
      </c>
      <c r="D32" s="7">
        <f t="shared" ref="D32:K32" si="2">D28+D29</f>
        <v>58.576707188725003</v>
      </c>
      <c r="E32" s="7">
        <f t="shared" si="2"/>
        <v>60.341795509827499</v>
      </c>
      <c r="F32" s="7">
        <f t="shared" si="2"/>
        <v>62.941774003494373</v>
      </c>
      <c r="G32" s="7">
        <f t="shared" si="2"/>
        <v>59.660138854798554</v>
      </c>
      <c r="H32" s="7">
        <f t="shared" si="2"/>
        <v>64.959345684552417</v>
      </c>
      <c r="I32" s="7">
        <f t="shared" si="2"/>
        <v>67.15526477262766</v>
      </c>
      <c r="J32" s="7">
        <f t="shared" si="2"/>
        <v>61.834656596953273</v>
      </c>
      <c r="K32" s="7">
        <f t="shared" si="2"/>
        <v>58.756824203173927</v>
      </c>
    </row>
    <row r="33" spans="1:11" x14ac:dyDescent="0.25">
      <c r="A33" t="s">
        <v>37</v>
      </c>
      <c r="C33" s="7">
        <f>C28+C29-C30</f>
        <v>46.715583400622251</v>
      </c>
      <c r="D33" s="7">
        <f t="shared" ref="D33:K33" si="3">D28+D29-D30</f>
        <v>40.962221578930126</v>
      </c>
      <c r="E33" s="7">
        <f t="shared" si="3"/>
        <v>38.58682862241028</v>
      </c>
      <c r="F33" s="7">
        <f t="shared" si="3"/>
        <v>34.12838404596252</v>
      </c>
      <c r="G33" s="7">
        <f t="shared" si="3"/>
        <v>8.7879439038869123</v>
      </c>
      <c r="H33" s="7">
        <f t="shared" si="3"/>
        <v>-17.95104932584259</v>
      </c>
      <c r="I33" s="7">
        <f t="shared" si="3"/>
        <v>-14.749253805370742</v>
      </c>
      <c r="J33" s="7">
        <f t="shared" si="3"/>
        <v>-1.8756261438829753</v>
      </c>
      <c r="K33" s="7">
        <f t="shared" si="3"/>
        <v>-1.0366043785369428</v>
      </c>
    </row>
  </sheetData>
  <pageMargins left="0.7" right="0.7" top="0.75" bottom="0.75" header="0.3" footer="0.3"/>
  <ignoredErrors>
    <ignoredError sqref="C7:K9 B15:K15 C24:K3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09C7-16E6-4D39-B9DB-1F07657F0FBE}">
  <dimension ref="A2:K33"/>
  <sheetViews>
    <sheetView topLeftCell="A25" zoomScale="155" workbookViewId="0">
      <selection activeCell="C7" sqref="C7:K9"/>
    </sheetView>
  </sheetViews>
  <sheetFormatPr defaultRowHeight="15" x14ac:dyDescent="0.25"/>
  <cols>
    <col min="1" max="1" width="25.5703125" customWidth="1"/>
    <col min="3" max="3" width="9" bestFit="1" customWidth="1"/>
    <col min="4" max="4" width="9.5703125" bestFit="1" customWidth="1"/>
    <col min="5" max="11" width="9" bestFit="1" customWidth="1"/>
  </cols>
  <sheetData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11</v>
      </c>
      <c r="B3" s="2">
        <f>[3]IS!B12/[3]IS!B6</f>
        <v>0.26546034771576549</v>
      </c>
      <c r="C3" s="2">
        <f>[3]IS!C12/[3]IS!C6</f>
        <v>0.2540134056787563</v>
      </c>
      <c r="D3" s="2">
        <f>[3]IS!D12/[3]IS!D6</f>
        <v>0.23508857328263996</v>
      </c>
      <c r="E3" s="2">
        <f>[3]IS!E12/[3]IS!E6</f>
        <v>0.23557346380774213</v>
      </c>
      <c r="F3" s="2">
        <f>[3]IS!F12/[3]IS!F6</f>
        <v>0.24085407054190236</v>
      </c>
      <c r="G3" s="2">
        <f>[3]IS!G12/[3]IS!G6</f>
        <v>0.24228450382923253</v>
      </c>
      <c r="H3" s="2">
        <f>[3]IS!H12/[3]IS!H6</f>
        <v>0.25124535185574964</v>
      </c>
      <c r="I3" s="2">
        <f>[3]IS!I12/[3]IS!I6</f>
        <v>0.27488008806646924</v>
      </c>
      <c r="J3" s="2">
        <f>[3]IS!J12/[3]IS!J6</f>
        <v>0.24903710878940935</v>
      </c>
      <c r="K3" s="2">
        <f>[3]IS!K12/[3]IS!K6</f>
        <v>0.23329507654599568</v>
      </c>
    </row>
    <row r="4" spans="1:11" x14ac:dyDescent="0.25">
      <c r="A4" t="s">
        <v>12</v>
      </c>
      <c r="B4" s="2">
        <f>[3]IS!B14/[3]IS!B6</f>
        <v>0.24471574044226482</v>
      </c>
      <c r="C4" s="2">
        <f>[3]IS!C14/[3]IS!C6</f>
        <v>0.24334367141393867</v>
      </c>
      <c r="D4" s="2">
        <f>[3]IS!D14/[3]IS!D6</f>
        <v>0.22228318143346279</v>
      </c>
      <c r="E4" s="2">
        <f>[3]IS!E14/[3]IS!E6</f>
        <v>0.2185514873671443</v>
      </c>
      <c r="F4" s="2">
        <f>[3]IS!F14/[3]IS!F6</f>
        <v>0.21415471341145581</v>
      </c>
      <c r="G4" s="2">
        <f>[3]IS!G14/[3]IS!G6</f>
        <v>0.20850578458530228</v>
      </c>
      <c r="H4" s="2">
        <f>[3]IS!H14/[3]IS!H6</f>
        <v>0.20325545499193151</v>
      </c>
      <c r="I4" s="2">
        <f>[3]IS!I14/[3]IS!I6</f>
        <v>0.21445233664456267</v>
      </c>
      <c r="J4" s="2">
        <f>[3]IS!J14/[3]IS!J6</f>
        <v>0.19915127193892848</v>
      </c>
      <c r="K4" s="2">
        <f>[3]IS!K14/[3]IS!K6</f>
        <v>0.19297955531347871</v>
      </c>
    </row>
    <row r="5" spans="1:11" x14ac:dyDescent="0.25">
      <c r="A5" t="s">
        <v>13</v>
      </c>
      <c r="B5" s="2">
        <f>[3]IS!B16/[3]IS!B6</f>
        <v>0.24122712672899657</v>
      </c>
      <c r="C5" s="2">
        <f>[3]IS!C16/[3]IS!C6</f>
        <v>0.24093277393535209</v>
      </c>
      <c r="D5" s="2">
        <f>[3]IS!D16/[3]IS!D6</f>
        <v>0.21997429923550693</v>
      </c>
      <c r="E5" s="2">
        <f>[3]IS!E16/[3]IS!E6</f>
        <v>0.21672183047920565</v>
      </c>
      <c r="F5" s="2">
        <f>[3]IS!F16/[3]IS!F6</f>
        <v>0.21282264136373288</v>
      </c>
      <c r="G5" s="2">
        <f>[3]IS!G16/[3]IS!G6</f>
        <v>0.20567052305686817</v>
      </c>
      <c r="H5" s="2">
        <f>[3]IS!H16/[3]IS!H6</f>
        <v>0.1961692275310461</v>
      </c>
      <c r="I5" s="2">
        <f>[3]IS!I16/[3]IS!I6</f>
        <v>0.20775561554792546</v>
      </c>
      <c r="J5" s="2">
        <f>[3]IS!J16/[3]IS!J6</f>
        <v>0.19547268156553427</v>
      </c>
      <c r="K5" s="2">
        <f>[3]IS!K16/[3]IS!K6</f>
        <v>0.18954617075495556</v>
      </c>
    </row>
    <row r="6" spans="1:11" x14ac:dyDescent="0.25">
      <c r="A6" t="s">
        <v>14</v>
      </c>
      <c r="B6" s="2">
        <f>[3]IS!B18/[3]IS!B6</f>
        <v>0.19833332622407687</v>
      </c>
      <c r="C6" s="2">
        <f>[3]IS!C18/[3]IS!C6</f>
        <v>0.19336518265527997</v>
      </c>
      <c r="D6" s="2">
        <f>[3]IS!D18/[3]IS!D6</f>
        <v>0.1750385777035714</v>
      </c>
      <c r="E6" s="2">
        <f>[3]IS!E18/[3]IS!E6</f>
        <v>0.17692165368089963</v>
      </c>
      <c r="F6" s="2">
        <f>[3]IS!F18/[3]IS!F6</f>
        <v>0.16836232359698064</v>
      </c>
      <c r="G6" s="2">
        <f>[3]IS!G18/[3]IS!G6</f>
        <v>0.16490141763076421</v>
      </c>
      <c r="H6" s="2">
        <f>[3]IS!H18/[3]IS!H6</f>
        <v>0.1551533010594261</v>
      </c>
      <c r="I6" s="2">
        <f>[3]IS!I18/[3]IS!I6</f>
        <v>0.14605666657929914</v>
      </c>
      <c r="J6" s="2">
        <f>[3]IS!J18/[3]IS!J6</f>
        <v>0.15566549044027769</v>
      </c>
      <c r="K6" s="2">
        <f>[3]IS!K18/[3]IS!K6</f>
        <v>0.14444530900461028</v>
      </c>
    </row>
    <row r="7" spans="1:11" x14ac:dyDescent="0.25">
      <c r="A7" t="s">
        <v>15</v>
      </c>
      <c r="B7" s="2"/>
      <c r="C7" s="2">
        <f>[3]IS!C18/AVERAGE([3]BS!B18:C18)</f>
        <v>0.22436617239325921</v>
      </c>
      <c r="D7" s="2">
        <f>[3]IS!D18/AVERAGE([3]BS!C18:D18)</f>
        <v>0.15022885886181014</v>
      </c>
      <c r="E7" s="2">
        <f>[3]IS!E18/AVERAGE([3]BS!D18:E18)</f>
        <v>0.20224999001205601</v>
      </c>
      <c r="F7" s="2">
        <f>[3]IS!F18/AVERAGE([3]BS!E18:F18)</f>
        <v>0.18604601550916791</v>
      </c>
      <c r="G7" s="2">
        <f>[3]IS!G18/AVERAGE([3]BS!F18:G18)</f>
        <v>0.1903364742613177</v>
      </c>
      <c r="H7" s="2">
        <f>[3]IS!H18/AVERAGE([3]BS!G18:H18)</f>
        <v>0.15665023234727418</v>
      </c>
      <c r="I7" s="2">
        <f>[3]IS!I18/AVERAGE([3]BS!H18:I18)</f>
        <v>0.13199815238117799</v>
      </c>
      <c r="J7" s="2">
        <f>[3]IS!J18/AVERAGE([3]BS!I18:J18)</f>
        <v>0.15430250102875953</v>
      </c>
      <c r="K7" s="2">
        <f>[3]IS!K18/AVERAGE([3]BS!J18:K18)</f>
        <v>0.16304461193054878</v>
      </c>
    </row>
    <row r="8" spans="1:11" x14ac:dyDescent="0.25">
      <c r="A8" t="s">
        <v>16</v>
      </c>
      <c r="C8" s="2">
        <f>[3]IS!C18/AVERAGE([3]BS!B33:C33)</f>
        <v>0.33324786262504075</v>
      </c>
      <c r="D8" s="2">
        <f>[3]IS!D18/AVERAGE([3]BS!C33:D33)</f>
        <v>0.21586019097267375</v>
      </c>
      <c r="E8" s="2">
        <f>[3]IS!E18/AVERAGE([3]BS!D33:E33)</f>
        <v>0.28344907394065189</v>
      </c>
      <c r="F8" s="2">
        <f>[3]IS!F18/AVERAGE([3]BS!E33:F33)</f>
        <v>0.25093514415606838</v>
      </c>
      <c r="G8" s="2">
        <f>[3]IS!G18/AVERAGE([3]BS!F33:G33)</f>
        <v>0.25997045790251105</v>
      </c>
      <c r="H8" s="2">
        <f>[3]IS!H18/AVERAGE([3]BS!G33:H33)</f>
        <v>0.23806653030466143</v>
      </c>
      <c r="I8" s="2">
        <f>[3]IS!I18/AVERAGE([3]BS!H33:I33)</f>
        <v>0.19990493529322081</v>
      </c>
      <c r="J8" s="2">
        <f>[3]IS!J18/AVERAGE([3]BS!I33:J33)</f>
        <v>0.22113557433982045</v>
      </c>
      <c r="K8" s="2">
        <f>[3]IS!K18/AVERAGE([3]BS!J33:K33)</f>
        <v>0.23313239772691596</v>
      </c>
    </row>
    <row r="9" spans="1:11" x14ac:dyDescent="0.25">
      <c r="A9" t="s">
        <v>17</v>
      </c>
      <c r="C9" s="2">
        <f>[3]IS!B14/(AVERAGE([3]BS!B33:C33)+AVERAGE([3]BS!B23:C23))</f>
        <v>0.3627565110232755</v>
      </c>
      <c r="D9" s="2">
        <f>[3]IS!C14/(AVERAGE([3]BS!C33:D33)+AVERAGE([3]BS!C23:D23))</f>
        <v>0.34871142160564289</v>
      </c>
      <c r="E9" s="2">
        <f>[3]IS!D14/(AVERAGE([3]BS!D33:E33)+AVERAGE([3]BS!D23:E23))</f>
        <v>0.23008212783716661</v>
      </c>
      <c r="F9" s="2">
        <f>[3]IS!E14/(AVERAGE([3]BS!E33:F33)+AVERAGE([3]BS!E23:F23))</f>
        <v>0.30275242421222004</v>
      </c>
      <c r="G9" s="2">
        <f>[3]IS!F14/(AVERAGE([3]BS!F33:G33)+AVERAGE([3]BS!F23:G23))</f>
        <v>0.27332758408278923</v>
      </c>
      <c r="H9" s="2">
        <f>[3]IS!G14/(AVERAGE([3]BS!G33:H33)+AVERAGE([3]BS!G23:H23))</f>
        <v>0.25365234800880132</v>
      </c>
      <c r="I9" s="2">
        <f>[3]IS!H14/(AVERAGE([3]BS!H33:I33)+AVERAGE([3]BS!H23:I23))</f>
        <v>0.23695209429008432</v>
      </c>
      <c r="J9" s="2">
        <f>[3]IS!I14/(AVERAGE([3]BS!I33:J33)+AVERAGE([3]BS!I23:J23))</f>
        <v>0.24533549223768938</v>
      </c>
      <c r="K9" s="2">
        <f>[3]IS!J14/(AVERAGE([3]BS!J33:K33)+AVERAGE([3]BS!J23:K23))</f>
        <v>0.25255738112473586</v>
      </c>
    </row>
    <row r="10" spans="1:11" x14ac:dyDescent="0.25"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1" t="s">
        <v>18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x14ac:dyDescent="0.25">
      <c r="A12" t="s">
        <v>19</v>
      </c>
      <c r="B12" s="3">
        <f>[3]BS!B10/[3]BS!B22</f>
        <v>2.0915483813724194</v>
      </c>
      <c r="C12" s="3">
        <f>[3]BS!C10/[3]BS!C22</f>
        <v>2.3174141909794321</v>
      </c>
      <c r="D12" s="3">
        <f>[3]BS!D10/[3]BS!D22</f>
        <v>2.5417741352909156</v>
      </c>
      <c r="E12" s="3">
        <f>[3]BS!E10/[3]BS!E22</f>
        <v>2.3346272606969563</v>
      </c>
      <c r="F12" s="3">
        <f>[3]BS!F10/[3]BS!F22</f>
        <v>2.4298011279311367</v>
      </c>
      <c r="G12" s="3">
        <f>[3]BS!G10/[3]BS!G22</f>
        <v>2.4166192373363686</v>
      </c>
      <c r="H12" s="3">
        <f>[3]BS!H10/[3]BS!H22</f>
        <v>1.6190476190476191</v>
      </c>
      <c r="I12" s="3">
        <f>[3]BS!I10/[3]BS!I22</f>
        <v>2.4766150837024679</v>
      </c>
      <c r="J12" s="3">
        <f>[3]BS!J10/[3]BS!J22</f>
        <v>2.5587749667110518</v>
      </c>
      <c r="K12" s="3">
        <f>[3]BS!K10/[3]BS!K22</f>
        <v>2.4999766693108114</v>
      </c>
    </row>
    <row r="13" spans="1:11" x14ac:dyDescent="0.25">
      <c r="A13" t="s">
        <v>20</v>
      </c>
      <c r="B13" s="3">
        <f>([3]BS!B6+[3]BS!B7)/[3]BS!B21</f>
        <v>1.8924116404570439</v>
      </c>
      <c r="C13" s="3">
        <f>([3]BS!C6+[3]BS!C7)/[3]BS!C21</f>
        <v>2.0019096489994843</v>
      </c>
      <c r="D13" s="3">
        <f>([3]BS!D6+[3]BS!D7)/[3]BS!D21</f>
        <v>2.0574264465960828</v>
      </c>
      <c r="E13" s="3">
        <f>([3]BS!E6+[3]BS!E7)/[3]BS!E21</f>
        <v>2.1800282952133929</v>
      </c>
      <c r="F13" s="3">
        <f>([3]BS!F6+[3]BS!F7)/[3]BS!F21</f>
        <v>1.9755736491487788</v>
      </c>
      <c r="G13" s="3">
        <f>([3]BS!G6+[3]BS!G7)/[3]BS!G21</f>
        <v>2.1071048815853071</v>
      </c>
      <c r="H13" s="3">
        <f>([3]BS!H6+[3]BS!H7)/[3]BS!H21</f>
        <v>1.1903480363088994</v>
      </c>
      <c r="I13" s="3">
        <f>([3]BS!I6+[3]BS!I7)/[3]BS!I21</f>
        <v>2.9388947927736448</v>
      </c>
      <c r="J13" s="3">
        <f>([3]BS!J6+[3]BS!J7)/[3]BS!J21</f>
        <v>3.3304699343102575</v>
      </c>
      <c r="K13" s="3">
        <f>([3]BS!K6+[3]BS!K7)/[3]BS!K21</f>
        <v>3.1337592745259686</v>
      </c>
    </row>
    <row r="14" spans="1:11" x14ac:dyDescent="0.25">
      <c r="A14" t="s">
        <v>21</v>
      </c>
      <c r="B14" s="3">
        <f>[3]BS!B6/[3]BS!B21</f>
        <v>1.1800397375068161</v>
      </c>
      <c r="C14" s="3">
        <f>[3]BS!C6/[3]BS!C21</f>
        <v>1.235860396457191</v>
      </c>
      <c r="D14" s="3">
        <f>[3]BS!D6/[3]BS!D21</f>
        <v>1.1544314485900973</v>
      </c>
      <c r="E14" s="3">
        <f>[3]BS!E6/[3]BS!E21</f>
        <v>1.2013676019806649</v>
      </c>
      <c r="F14" s="3">
        <f>[3]BS!F6/[3]BS!F21</f>
        <v>0.78645447816432268</v>
      </c>
      <c r="G14" s="3">
        <f>[3]BS!G6/[3]BS!G21</f>
        <v>0.97554374093765106</v>
      </c>
      <c r="H14" s="3">
        <f>[3]BS!H6/[3]BS!H21</f>
        <v>0.54577384482050817</v>
      </c>
      <c r="I14" s="3">
        <f>[3]BS!I6/[3]BS!I21</f>
        <v>1.3869110874955721</v>
      </c>
      <c r="J14" s="3">
        <f>[3]BS!J6/[3]BS!J21</f>
        <v>1.5896075458986021</v>
      </c>
      <c r="K14" s="3">
        <f>[3]BS!K6/[3]BS!K21</f>
        <v>1.381492168178071</v>
      </c>
    </row>
    <row r="15" spans="1:11" x14ac:dyDescent="0.25">
      <c r="A15" t="s">
        <v>22</v>
      </c>
      <c r="B15" s="4">
        <f>[3]BS!B10/(SUM([3]IS!B7:B11)/365)</f>
        <v>292.65001947456426</v>
      </c>
      <c r="C15" s="4">
        <f>[3]BS!C10/(SUM([3]IS!C7:C11)/365)</f>
        <v>297.99813239320065</v>
      </c>
      <c r="D15" s="4">
        <f>[3]BS!D10/(SUM([3]IS!D7:D11)/365)</f>
        <v>372.44405060126894</v>
      </c>
      <c r="E15" s="4">
        <f>[3]BS!E10/(SUM([3]IS!E7:E11)/365)</f>
        <v>259.76212887263341</v>
      </c>
      <c r="F15" s="4">
        <f>[3]BS!F10/(SUM([3]IS!F7:F11)/365)</f>
        <v>227.94980037128397</v>
      </c>
      <c r="G15" s="4">
        <f>[3]BS!G10/(SUM([3]IS!G7:G11)/365)</f>
        <v>233.2967032967033</v>
      </c>
      <c r="H15" s="4">
        <f>[3]BS!H10/(SUM([3]IS!H7:H11)/365)</f>
        <v>262.80547226386807</v>
      </c>
      <c r="I15" s="4">
        <f>[3]BS!I10/(SUM([3]IS!I7:I11)/365)</f>
        <v>283.99296958305473</v>
      </c>
      <c r="J15" s="4">
        <f>[3]BS!J10/(SUM([3]IS!J7:J11)/365)</f>
        <v>269.26330579527655</v>
      </c>
      <c r="K15" s="4">
        <f>[3]BS!K10/(SUM([3]IS!K7:K11)/365)</f>
        <v>248.07942609225148</v>
      </c>
    </row>
    <row r="16" spans="1:1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5">
      <c r="A17" s="1" t="s">
        <v>23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</row>
    <row r="18" spans="1:11" x14ac:dyDescent="0.25">
      <c r="A18" t="s">
        <v>24</v>
      </c>
      <c r="B18" s="3">
        <f>[3]BS!B18/[3]BS!B33</f>
        <v>1.52901746096834</v>
      </c>
      <c r="C18" s="3">
        <f>[3]BS!C18/[3]BS!C33</f>
        <v>1.4500088865045262</v>
      </c>
      <c r="D18" s="3">
        <f>[3]BS!D18/[3]BS!D33</f>
        <v>1.4253102103767812</v>
      </c>
      <c r="E18" s="3">
        <f>[3]BS!E18/[3]BS!E33</f>
        <v>1.3816194674234648</v>
      </c>
      <c r="F18" s="3">
        <f>[3]BS!F18/[3]BS!F33</f>
        <v>1.318886384873303</v>
      </c>
      <c r="G18" s="3">
        <f>[3]BS!G18/[3]BS!G33</f>
        <v>1.4070510501820637</v>
      </c>
      <c r="H18" s="3">
        <f>[3]BS!H18/[3]BS!H33</f>
        <v>1.6106065615215572</v>
      </c>
      <c r="I18" s="3">
        <f>[3]BS!I18/[3]BS!I33</f>
        <v>1.4321593821776906</v>
      </c>
      <c r="J18" s="3">
        <f>[3]BS!J18/[3]BS!J33</f>
        <v>1.4340708963648678</v>
      </c>
      <c r="K18" s="3">
        <f>[3]BS!K18/[3]BS!K33</f>
        <v>1.4258845836264107</v>
      </c>
    </row>
    <row r="19" spans="1:11" x14ac:dyDescent="0.25">
      <c r="A19" t="s">
        <v>25</v>
      </c>
      <c r="B19" s="3">
        <f>[3]BS!B23/[3]BS!B33</f>
        <v>1.0232996517598672E-2</v>
      </c>
      <c r="C19" s="3">
        <f>[3]BS!C23/[3]BS!C33</f>
        <v>6.9072002080100316E-3</v>
      </c>
      <c r="D19" s="3">
        <f>[3]BS!D23/[3]BS!D33</f>
        <v>2.6716007105428957E-2</v>
      </c>
      <c r="E19" s="3">
        <f>[3]BS!E23/[3]BS!E33</f>
        <v>1.1563311394239478E-2</v>
      </c>
      <c r="F19" s="3">
        <f>[3]BS!F23/[3]BS!F33</f>
        <v>9.2892870884406092E-3</v>
      </c>
      <c r="G19" s="3">
        <f>[3]BS!G23/[3]BS!G33</f>
        <v>7.1788564952132913E-2</v>
      </c>
      <c r="H19" s="3">
        <f>[3]BS!H23/[3]BS!H33</f>
        <v>9.7761614904416483E-2</v>
      </c>
      <c r="I19" s="3">
        <f>[3]BS!I23/[3]BS!I33</f>
        <v>9.5386305382643727E-2</v>
      </c>
      <c r="J19" s="3">
        <f>[3]BS!J23/[3]BS!J33</f>
        <v>9.0023546108441113E-2</v>
      </c>
      <c r="K19" s="3">
        <f>[3]BS!K23/[3]BS!K33</f>
        <v>5.7723477782195172E-2</v>
      </c>
    </row>
    <row r="20" spans="1:11" x14ac:dyDescent="0.25">
      <c r="A20" s="5" t="s">
        <v>26</v>
      </c>
      <c r="B20" s="3">
        <f>[3]BS!B23/[3]BS!B18</f>
        <v>6.6925308433809687E-3</v>
      </c>
      <c r="C20" s="3">
        <f>[3]BS!C23/[3]BS!C18</f>
        <v>4.7635571563019313E-3</v>
      </c>
      <c r="D20" s="3">
        <f>[3]BS!D23/[3]BS!D18</f>
        <v>1.8743994753511638E-2</v>
      </c>
      <c r="E20" s="3">
        <f>[3]BS!E23/[3]BS!E18</f>
        <v>8.3693894497618108E-3</v>
      </c>
      <c r="F20" s="3">
        <f>[3]BS!F23/[3]BS!F18</f>
        <v>7.0432807518389633E-3</v>
      </c>
      <c r="G20" s="3">
        <f>[3]BS!G23/[3]BS!G18</f>
        <v>5.10205830434112E-2</v>
      </c>
      <c r="H20" s="3">
        <f>[3]BS!H23/[3]BS!H18</f>
        <v>6.0698631956435115E-2</v>
      </c>
      <c r="I20" s="3">
        <f>[3]BS!I23/[3]BS!I18</f>
        <v>6.6603135495717461E-2</v>
      </c>
      <c r="J20" s="3">
        <f>[3]BS!J23/[3]BS!J18</f>
        <v>6.277482259533744E-2</v>
      </c>
      <c r="K20" s="3">
        <f>[3]BS!K23/[3]BS!K18</f>
        <v>4.0482573726541557E-2</v>
      </c>
    </row>
    <row r="21" spans="1:11" x14ac:dyDescent="0.25">
      <c r="A21" t="s">
        <v>27</v>
      </c>
      <c r="B21" s="6">
        <f>[3]IS!B14/[3]IS!B15</f>
        <v>70.146986899563316</v>
      </c>
      <c r="C21" s="6">
        <f>[3]IS!C14/[3]IS!C15</f>
        <v>100.9348898388688</v>
      </c>
      <c r="D21" s="6">
        <f>[3]IS!D14/[3]IS!D15</f>
        <v>96.27307171853856</v>
      </c>
      <c r="E21" s="6">
        <f>[3]IS!E14/[3]IS!E15</f>
        <v>119.44943820224719</v>
      </c>
      <c r="F21" s="6">
        <f>[3]IS!F14/[3]IS!F15</f>
        <v>160.768115942029</v>
      </c>
      <c r="G21" s="6">
        <f>[3]IS!G14/[3]IS!G15</f>
        <v>73.540229885057471</v>
      </c>
      <c r="H21" s="6">
        <f>[3]IS!H14/[3]IS!H15</f>
        <v>28.683168316831683</v>
      </c>
      <c r="I21" s="6">
        <f>[3]IS!I14/[3]IS!I15</f>
        <v>32.023483365949119</v>
      </c>
      <c r="J21" s="6">
        <f>[3]IS!J14/[3]IS!J15</f>
        <v>54.137931034482762</v>
      </c>
      <c r="K21" s="6">
        <f>[3]IS!K14/[3]IS!K15</f>
        <v>56.206798866855522</v>
      </c>
    </row>
    <row r="23" spans="1:11" x14ac:dyDescent="0.25">
      <c r="A23" s="1" t="s">
        <v>28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</row>
    <row r="24" spans="1:11" x14ac:dyDescent="0.25">
      <c r="A24" t="s">
        <v>29</v>
      </c>
      <c r="C24" s="7">
        <f>[3]IS!C6/AVERAGE([3]BS!B18:C18)</f>
        <v>1.1603235355624801</v>
      </c>
      <c r="D24" s="7">
        <f>[3]IS!D6/AVERAGE([3]BS!C18:D18)</f>
        <v>0.85826142346873602</v>
      </c>
      <c r="E24" s="7">
        <f>[3]IS!E6/AVERAGE([3]BS!D18:E18)</f>
        <v>1.143161313520386</v>
      </c>
      <c r="F24" s="7">
        <f>[3]IS!F6/AVERAGE([3]BS!E18:F18)</f>
        <v>1.1050335463088394</v>
      </c>
      <c r="G24" s="7">
        <f>[3]IS!G6/AVERAGE([3]BS!F18:G18)</f>
        <v>1.1542440143692754</v>
      </c>
      <c r="H24" s="7">
        <f>[3]IS!H6/AVERAGE([3]BS!G18:H18)</f>
        <v>1.0096480788847331</v>
      </c>
      <c r="I24" s="7">
        <f>[3]IS!I6/AVERAGE([3]BS!H18:I18)</f>
        <v>0.90374616559875875</v>
      </c>
      <c r="J24" s="7">
        <f>[3]IS!J6/AVERAGE([3]BS!I18:J18)</f>
        <v>0.99124411320927253</v>
      </c>
      <c r="K24" s="7">
        <f>[3]IS!K6/AVERAGE([3]BS!J18:K18)</f>
        <v>1.1287636341678973</v>
      </c>
    </row>
    <row r="25" spans="1:11" x14ac:dyDescent="0.25">
      <c r="A25" t="s">
        <v>30</v>
      </c>
      <c r="C25" s="7">
        <f>[3]IS!C6/AVERAGE([3]BS!B7:C7)</f>
        <v>6.1924619912564145</v>
      </c>
      <c r="D25" s="7">
        <f>[3]IS!D6/AVERAGE([3]BS!C7:D7)</f>
        <v>4.489089982138637</v>
      </c>
      <c r="E25" s="7">
        <f>[3]IS!E6/AVERAGE([3]BS!D7:E7)</f>
        <v>6.0719729074892621</v>
      </c>
      <c r="F25" s="7">
        <f>[3]IS!F6/AVERAGE([3]BS!E7:F7)</f>
        <v>5.7746934225195092</v>
      </c>
      <c r="G25" s="7">
        <f>[3]IS!G6/AVERAGE([3]BS!F7:G7)</f>
        <v>5.7502928086202854</v>
      </c>
      <c r="H25" s="7">
        <f>[3]IS!H6/AVERAGE([3]BS!G7:H7)</f>
        <v>5.5165073344428537</v>
      </c>
      <c r="I25" s="7">
        <f>[3]IS!I6/AVERAGE([3]BS!H7:I7)</f>
        <v>4.8209502148091987</v>
      </c>
      <c r="J25" s="7">
        <f>[3]IS!J6/AVERAGE([3]BS!I7:J7)</f>
        <v>4.5406848884699968</v>
      </c>
      <c r="K25" s="7">
        <f>[3]IS!K6/AVERAGE([3]BS!J7:K7)</f>
        <v>4.4530393919050608</v>
      </c>
    </row>
    <row r="26" spans="1:11" x14ac:dyDescent="0.25">
      <c r="A26" t="s">
        <v>31</v>
      </c>
      <c r="C26" s="7">
        <f>([3]IS!C7+[3]IS!C11)/AVERAGE([3]BS!B8:C8)</f>
        <v>52.76095887963988</v>
      </c>
      <c r="D26" s="7">
        <f>([3]IS!D7+[3]IS!D11)/AVERAGE([3]BS!C8:D8)</f>
        <v>32.519557440356323</v>
      </c>
      <c r="E26" s="7">
        <f>([3]IS!E7+[3]IS!E11)/AVERAGE([3]BS!D8:E8)</f>
        <v>40.789668442865597</v>
      </c>
      <c r="F26" s="7">
        <f>([3]IS!F7+[3]IS!F11)/AVERAGE([3]BS!E8:F8)</f>
        <v>51.209821428571431</v>
      </c>
      <c r="G26" s="7">
        <f>([3]IS!G7+[3]IS!G11)/AVERAGE([3]BS!F8:G8)</f>
        <v>101.61977186311788</v>
      </c>
      <c r="H26" s="7">
        <f>([3]IS!H7+[3]IS!H11)/AVERAGE([3]BS!G8:H8)</f>
        <v>165.65934065934067</v>
      </c>
      <c r="I26" s="7">
        <f>([3]IS!I7+[3]IS!I11)/AVERAGE([3]BS!H8:I8)</f>
        <v>156.99459459459459</v>
      </c>
      <c r="J26" s="7">
        <f>([3]IS!J7+[3]IS!J11)/AVERAGE([3]BS!I8:J8)</f>
        <v>132.0392156862745</v>
      </c>
      <c r="K26" s="7">
        <f>([3]IS!K7+[3]IS!K11)/AVERAGE([3]BS!J8:K8)</f>
        <v>105.5681233933162</v>
      </c>
    </row>
    <row r="27" spans="1:11" x14ac:dyDescent="0.25">
      <c r="A27" t="s">
        <v>32</v>
      </c>
      <c r="C27" s="7">
        <f>([3]IS!C7+[3]IS!C11)/AVERAGE([3]BS!B19:C19)</f>
        <v>5.5231797986446658</v>
      </c>
      <c r="D27" s="7">
        <f>([3]IS!D7+[3]IS!D11)/AVERAGE([3]BS!C19:D19)</f>
        <v>5.1077769219033158</v>
      </c>
      <c r="E27" s="7">
        <f>([3]IS!E7+[3]IS!E11)/AVERAGE([3]BS!D19:E19)</f>
        <v>5.3369032114378125</v>
      </c>
      <c r="F27" s="7">
        <f>([3]IS!F7+[3]IS!F11)/AVERAGE([3]BS!E19:F19)</f>
        <v>4.7264112072517515</v>
      </c>
      <c r="G27" s="7">
        <f>([3]IS!G7+[3]IS!G11)/AVERAGE([3]BS!F19:G19)</f>
        <v>6.7575221238938052</v>
      </c>
      <c r="H27" s="7">
        <f>([3]IS!H7+[3]IS!H11)/AVERAGE([3]BS!G19:H19)</f>
        <v>8.0164849773996281</v>
      </c>
      <c r="I27" s="7">
        <f>([3]IS!I7+[3]IS!I11)/AVERAGE([3]BS!H19:I19)</f>
        <v>3.6773866801721953</v>
      </c>
      <c r="J27" s="7">
        <f>([3]IS!J7+[3]IS!J11)/AVERAGE([3]BS!I19:J19)</f>
        <v>2.5915948275862069</v>
      </c>
      <c r="K27" s="7">
        <f>([3]IS!K7+[3]IS!K11)/AVERAGE([3]BS!J19:K19)</f>
        <v>2.9809814169570266</v>
      </c>
    </row>
    <row r="28" spans="1:11" x14ac:dyDescent="0.25">
      <c r="A28" t="s">
        <v>33</v>
      </c>
      <c r="C28" s="7">
        <f>365/C25</f>
        <v>58.942630655685889</v>
      </c>
      <c r="D28" s="7">
        <f t="shared" ref="D28:K28" si="0">365/D25</f>
        <v>81.308238741543605</v>
      </c>
      <c r="E28" s="7">
        <f t="shared" si="0"/>
        <v>60.11225767325206</v>
      </c>
      <c r="F28" s="7">
        <f t="shared" si="0"/>
        <v>63.206818664452982</v>
      </c>
      <c r="G28" s="7">
        <f t="shared" si="0"/>
        <v>63.475028515561355</v>
      </c>
      <c r="H28" s="7">
        <f t="shared" si="0"/>
        <v>66.165052971304277</v>
      </c>
      <c r="I28" s="7">
        <f t="shared" si="0"/>
        <v>75.711215369695708</v>
      </c>
      <c r="J28" s="7">
        <f t="shared" si="0"/>
        <v>80.384349270047736</v>
      </c>
      <c r="K28" s="7">
        <f t="shared" si="0"/>
        <v>81.966488026922406</v>
      </c>
    </row>
    <row r="29" spans="1:11" x14ac:dyDescent="0.25">
      <c r="A29" t="s">
        <v>34</v>
      </c>
      <c r="C29" s="7">
        <f t="shared" ref="C29:K30" si="1">365/C26</f>
        <v>6.9179940575502163</v>
      </c>
      <c r="D29" s="7">
        <f t="shared" si="1"/>
        <v>11.224014984504064</v>
      </c>
      <c r="E29" s="7">
        <f t="shared" si="1"/>
        <v>8.9483443708609283</v>
      </c>
      <c r="F29" s="7">
        <f t="shared" si="1"/>
        <v>7.1275390114201027</v>
      </c>
      <c r="G29" s="7">
        <f t="shared" si="1"/>
        <v>3.5918206989448476</v>
      </c>
      <c r="H29" s="7">
        <f t="shared" si="1"/>
        <v>2.2033167495854062</v>
      </c>
      <c r="I29" s="7">
        <f t="shared" si="1"/>
        <v>2.3249208098058118</v>
      </c>
      <c r="J29" s="7">
        <f t="shared" si="1"/>
        <v>2.7643302643302645</v>
      </c>
      <c r="K29" s="7">
        <f t="shared" si="1"/>
        <v>3.4574830760239612</v>
      </c>
    </row>
    <row r="30" spans="1:11" x14ac:dyDescent="0.25">
      <c r="A30" t="s">
        <v>35</v>
      </c>
      <c r="C30" s="7">
        <f t="shared" si="1"/>
        <v>66.085120040735845</v>
      </c>
      <c r="D30" s="7">
        <f t="shared" si="1"/>
        <v>71.459659570251887</v>
      </c>
      <c r="E30" s="7">
        <f t="shared" si="1"/>
        <v>68.391721854304635</v>
      </c>
      <c r="F30" s="7">
        <f t="shared" si="1"/>
        <v>77.225612413913339</v>
      </c>
      <c r="G30" s="7">
        <f t="shared" si="1"/>
        <v>54.013881613410163</v>
      </c>
      <c r="H30" s="7">
        <f t="shared" si="1"/>
        <v>45.531177446102816</v>
      </c>
      <c r="I30" s="7">
        <f t="shared" si="1"/>
        <v>99.255267869439479</v>
      </c>
      <c r="J30" s="7">
        <f t="shared" si="1"/>
        <v>140.83991683991684</v>
      </c>
      <c r="K30" s="7">
        <f t="shared" si="1"/>
        <v>122.44289680027273</v>
      </c>
    </row>
    <row r="31" spans="1:11" x14ac:dyDescent="0.25"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25">
      <c r="A32" t="s">
        <v>36</v>
      </c>
      <c r="C32" s="6">
        <f>C28+C29</f>
        <v>65.860624713236106</v>
      </c>
      <c r="D32" s="6">
        <f t="shared" ref="D32:K32" si="2">D28+D29</f>
        <v>92.532253726047671</v>
      </c>
      <c r="E32" s="6">
        <f t="shared" si="2"/>
        <v>69.060602044112983</v>
      </c>
      <c r="F32" s="6">
        <f t="shared" si="2"/>
        <v>70.334357675873079</v>
      </c>
      <c r="G32" s="6">
        <f t="shared" si="2"/>
        <v>67.066849214506206</v>
      </c>
      <c r="H32" s="6">
        <f t="shared" si="2"/>
        <v>68.368369720889689</v>
      </c>
      <c r="I32" s="6">
        <f t="shared" si="2"/>
        <v>78.036136179501526</v>
      </c>
      <c r="J32" s="6">
        <f t="shared" si="2"/>
        <v>83.148679534378005</v>
      </c>
      <c r="K32" s="6">
        <f t="shared" si="2"/>
        <v>85.423971102946368</v>
      </c>
    </row>
    <row r="33" spans="1:11" x14ac:dyDescent="0.25">
      <c r="A33" t="s">
        <v>37</v>
      </c>
      <c r="C33" s="6">
        <f>C28+C29-C30</f>
        <v>-0.22449532749973855</v>
      </c>
      <c r="D33" s="6">
        <f t="shared" ref="D33:K33" si="3">D28+D29-D30</f>
        <v>21.072594155795784</v>
      </c>
      <c r="E33" s="6">
        <f t="shared" si="3"/>
        <v>0.66888018980834829</v>
      </c>
      <c r="F33" s="6">
        <f t="shared" si="3"/>
        <v>-6.89125473804026</v>
      </c>
      <c r="G33" s="6">
        <f t="shared" si="3"/>
        <v>13.052967601096043</v>
      </c>
      <c r="H33" s="6">
        <f t="shared" si="3"/>
        <v>22.837192274786872</v>
      </c>
      <c r="I33" s="6">
        <f t="shared" si="3"/>
        <v>-21.219131689937953</v>
      </c>
      <c r="J33" s="6">
        <f t="shared" si="3"/>
        <v>-57.691237305538834</v>
      </c>
      <c r="K33" s="6">
        <f t="shared" si="3"/>
        <v>-37.018925697326367</v>
      </c>
    </row>
  </sheetData>
  <pageMargins left="0.7" right="0.7" top="0.75" bottom="0.75" header="0.3" footer="0.3"/>
  <ignoredErrors>
    <ignoredError sqref="C24:K30 B15:K15 C7:K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 Section Analysis</vt:lpstr>
      <vt:lpstr>Ratio Analysis - TCS</vt:lpstr>
      <vt:lpstr>Ratio Analysis - INFY</vt:lpstr>
      <vt:lpstr>Ratio Analysis - HCL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Varma</dc:creator>
  <cp:lastModifiedBy>Priyal gor</cp:lastModifiedBy>
  <dcterms:created xsi:type="dcterms:W3CDTF">2023-12-12T09:01:09Z</dcterms:created>
  <dcterms:modified xsi:type="dcterms:W3CDTF">2026-06-29T12:01:20Z</dcterms:modified>
</cp:coreProperties>
</file>